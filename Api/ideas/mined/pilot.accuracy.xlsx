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Как заполнять" sheetId="1" state="visible" r:id="rId1"/>
    <sheet xmlns:r="http://schemas.openxmlformats.org/officeDocument/2006/relationships" name="Выборка" sheetId="2" state="visible" r:id="rId2"/>
    <sheet xmlns:r="http://schemas.openxmlformats.org/officeDocument/2006/relationships" name="Итог" sheetId="3" state="visible" r:id="rId3"/>
  </sheets>
  <definedNames>
    <definedName name="_xlnm._FilterDatabase" localSheetId="1" hidden="1">'Выборка'!$A$1:$L$81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0563C1"/>
      <u val="single"/>
    </font>
    <font>
      <b val="1"/>
      <sz val="12"/>
    </font>
  </fonts>
  <fills count="8">
    <fill>
      <patternFill/>
    </fill>
    <fill>
      <patternFill patternType="gray125"/>
    </fill>
    <fill>
      <patternFill patternType="solid">
        <fgColor rgb="00D9E1F2"/>
      </patternFill>
    </fill>
    <fill>
      <patternFill patternType="solid">
        <fgColor rgb="00E2EFDA"/>
      </patternFill>
    </fill>
    <fill>
      <patternFill patternType="solid">
        <fgColor rgb="00FFF2CC"/>
      </patternFill>
    </fill>
    <fill>
      <patternFill patternType="solid">
        <fgColor rgb="00F8CBAD"/>
      </patternFill>
    </fill>
    <fill>
      <patternFill patternType="solid">
        <fgColor rgb="00FCE4D6"/>
      </patternFill>
    </fill>
    <fill>
      <patternFill patternType="solid">
        <fgColor rgb="00FFFFFF"/>
      </patternFill>
    </fill>
  </fills>
  <borders count="1">
    <border>
      <left/>
      <right/>
      <top/>
      <bottom/>
      <diagonal/>
    </border>
  </borders>
  <cellStyleXfs count="1">
    <xf numFmtId="0" fontId="0" fillId="0" borderId="0"/>
  </cellStyleXfs>
  <cellXfs count="11">
    <xf numFmtId="0" fontId="0" fillId="0" borderId="0" pivotButton="0" quotePrefix="0" xfId="0"/>
    <xf numFmtId="0" fontId="3"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4" borderId="0" applyAlignment="1" pivotButton="0" quotePrefix="0" xfId="0">
      <alignment vertical="top" wrapText="1"/>
    </xf>
    <xf numFmtId="0" fontId="1" fillId="0"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advisories/GHSA-jx63-h26r-8cph" TargetMode="External" Id="rId1"/><Relationship Type="http://schemas.openxmlformats.org/officeDocument/2006/relationships/hyperlink" Target="https://github.com/advisories/GHSA-7mx3-vvmw-hjmv" TargetMode="External" Id="rId2"/><Relationship Type="http://schemas.openxmlformats.org/officeDocument/2006/relationships/hyperlink" Target="https://github.com/keycloak/keycloak/issues/50039" TargetMode="External" Id="rId3"/><Relationship Type="http://schemas.openxmlformats.org/officeDocument/2006/relationships/hyperlink" Target="https://github.com/advisories/GHSA-6mwv-4mrm-5p3m" TargetMode="External" Id="rId4"/><Relationship Type="http://schemas.openxmlformats.org/officeDocument/2006/relationships/hyperlink" Target="https://github.com/keycloak/keycloak/issues/53117" TargetMode="External" Id="rId5"/><Relationship Type="http://schemas.openxmlformats.org/officeDocument/2006/relationships/hyperlink" Target="https://github.com/advisories/GHSA-322m-ff4g-9vx9" TargetMode="External" Id="rId6"/><Relationship Type="http://schemas.openxmlformats.org/officeDocument/2006/relationships/hyperlink" Target="https://github.com/advisories/GHSA-354h-gmhv-mr9c" TargetMode="External" Id="rId7"/><Relationship Type="http://schemas.openxmlformats.org/officeDocument/2006/relationships/hyperlink" Target="https://github.com/expressjs/express/issues/6580" TargetMode="External" Id="rId8"/><Relationship Type="http://schemas.openxmlformats.org/officeDocument/2006/relationships/hyperlink" Target="https://github.com/advisories/GHSA-cw9w-vv67-hf73" TargetMode="External" Id="rId9"/><Relationship Type="http://schemas.openxmlformats.org/officeDocument/2006/relationships/hyperlink" Target="https://github.com/advisories/GHSA-jp82-f5mq-hwhp" TargetMode="External" Id="rId10"/><Relationship Type="http://schemas.openxmlformats.org/officeDocument/2006/relationships/hyperlink" Target="https://github.com/expressjs/body-parser/issues/119" TargetMode="External" Id="rId11"/><Relationship Type="http://schemas.openxmlformats.org/officeDocument/2006/relationships/hyperlink" Target="https://github.com/keycloak/keycloak/issues/51527" TargetMode="External" Id="rId12"/><Relationship Type="http://schemas.openxmlformats.org/officeDocument/2006/relationships/hyperlink" Target="https://github.com/nestjs/nest/issues/13910" TargetMode="External" Id="rId13"/><Relationship Type="http://schemas.openxmlformats.org/officeDocument/2006/relationships/hyperlink" Target="https://github.com/strapi/strapi/issues/27395" TargetMode="External" Id="rId14"/><Relationship Type="http://schemas.openxmlformats.org/officeDocument/2006/relationships/hyperlink" Target="https://github.com/advisories/GHSA-v6q3-xqxm-6f5v" TargetMode="External" Id="rId15"/><Relationship Type="http://schemas.openxmlformats.org/officeDocument/2006/relationships/hyperlink" Target="https://github.com/keycloak/keycloak/issues/49611" TargetMode="External" Id="rId16"/><Relationship Type="http://schemas.openxmlformats.org/officeDocument/2006/relationships/hyperlink" Target="https://github.com/keycloak/keycloak/issues/49909" TargetMode="External" Id="rId17"/><Relationship Type="http://schemas.openxmlformats.org/officeDocument/2006/relationships/hyperlink" Target="https://github.com/expressjs/session/issues/239" TargetMode="External" Id="rId18"/><Relationship Type="http://schemas.openxmlformats.org/officeDocument/2006/relationships/hyperlink" Target="https://github.com/directus/directus/issues/26768" TargetMode="External" Id="rId19"/><Relationship Type="http://schemas.openxmlformats.org/officeDocument/2006/relationships/hyperlink" Target="https://github.com/strapi/strapi/issues/27235" TargetMode="External" Id="rId20"/><Relationship Type="http://schemas.openxmlformats.org/officeDocument/2006/relationships/hyperlink" Target="https://github.com/advisories/GHSA-xgv3-crq2-6f69" TargetMode="External" Id="rId21"/><Relationship Type="http://schemas.openxmlformats.org/officeDocument/2006/relationships/hyperlink" Target="https://github.com/advisories/GHSA-pj7x-6wpf-pgvp" TargetMode="External" Id="rId22"/><Relationship Type="http://schemas.openxmlformats.org/officeDocument/2006/relationships/hyperlink" Target="https://github.com/expressjs/session/issues/340" TargetMode="External" Id="rId23"/><Relationship Type="http://schemas.openxmlformats.org/officeDocument/2006/relationships/hyperlink" Target="https://github.com/nestjs/nest/issues/3939" TargetMode="External" Id="rId24"/><Relationship Type="http://schemas.openxmlformats.org/officeDocument/2006/relationships/hyperlink" Target="https://github.com/strapi/strapi/issues/26746" TargetMode="External" Id="rId25"/><Relationship Type="http://schemas.openxmlformats.org/officeDocument/2006/relationships/hyperlink" Target="https://github.com/advisories/GHSA-m8m8-qj5v-23w3" TargetMode="External" Id="rId26"/><Relationship Type="http://schemas.openxmlformats.org/officeDocument/2006/relationships/hyperlink" Target="https://github.com/nestjs/nest/issues/484" TargetMode="External" Id="rId27"/><Relationship Type="http://schemas.openxmlformats.org/officeDocument/2006/relationships/hyperlink" Target="https://github.com/nestjs/nest/issues/491" TargetMode="External" Id="rId28"/><Relationship Type="http://schemas.openxmlformats.org/officeDocument/2006/relationships/hyperlink" Target="https://github.com/nestjs/nest/issues/1320" TargetMode="External" Id="rId29"/><Relationship Type="http://schemas.openxmlformats.org/officeDocument/2006/relationships/hyperlink" Target="https://github.com/expressjs/session/issues/85" TargetMode="External" Id="rId30"/><Relationship Type="http://schemas.openxmlformats.org/officeDocument/2006/relationships/hyperlink" Target="https://github.com/advisories/GHSA-hx4r-w6wj-j8fg" TargetMode="External" Id="rId31"/><Relationship Type="http://schemas.openxmlformats.org/officeDocument/2006/relationships/hyperlink" Target="https://github.com/advisories/GHSA-wf3x-273g-mvxv" TargetMode="External" Id="rId32"/><Relationship Type="http://schemas.openxmlformats.org/officeDocument/2006/relationships/hyperlink" Target="https://github.com/nestjs/nest/issues/10333" TargetMode="External" Id="rId33"/><Relationship Type="http://schemas.openxmlformats.org/officeDocument/2006/relationships/hyperlink" Target="https://github.com/strapi/strapi/issues/27317" TargetMode="External" Id="rId34"/><Relationship Type="http://schemas.openxmlformats.org/officeDocument/2006/relationships/hyperlink" Target="https://github.com/directus/directus/issues/26956" TargetMode="External" Id="rId35"/><Relationship Type="http://schemas.openxmlformats.org/officeDocument/2006/relationships/hyperlink" Target="https://github.com/nestjs/nest/issues/16785" TargetMode="External" Id="rId36"/><Relationship Type="http://schemas.openxmlformats.org/officeDocument/2006/relationships/hyperlink" Target="https://github.com/advisories/GHSA-c48m-32m9-vx93" TargetMode="External" Id="rId37"/><Relationship Type="http://schemas.openxmlformats.org/officeDocument/2006/relationships/hyperlink" Target="https://github.com/expressjs/express/issues/6275" TargetMode="External" Id="rId38"/><Relationship Type="http://schemas.openxmlformats.org/officeDocument/2006/relationships/hyperlink" Target="https://github.com/keycloak/keycloak/issues/51131" TargetMode="External" Id="rId39"/><Relationship Type="http://schemas.openxmlformats.org/officeDocument/2006/relationships/hyperlink" Target="https://github.com/nestjs/nest/issues/9041" TargetMode="External" Id="rId40"/><Relationship Type="http://schemas.openxmlformats.org/officeDocument/2006/relationships/hyperlink" Target="https://github.com/nestjs/nest/issues/14601" TargetMode="External" Id="rId41"/><Relationship Type="http://schemas.openxmlformats.org/officeDocument/2006/relationships/hyperlink" Target="https://github.com/advisories/GHSA-r273-hxvj-fxhp" TargetMode="External" Id="rId42"/><Relationship Type="http://schemas.openxmlformats.org/officeDocument/2006/relationships/hyperlink" Target="https://github.com/directus/directus/issues/27955" TargetMode="External" Id="rId43"/><Relationship Type="http://schemas.openxmlformats.org/officeDocument/2006/relationships/hyperlink" Target="https://github.com/advisories/GHSA-7q3f-wx44-378m" TargetMode="External" Id="rId44"/><Relationship Type="http://schemas.openxmlformats.org/officeDocument/2006/relationships/hyperlink" Target="https://github.com/expressjs/express/issues/4899" TargetMode="External" Id="rId45"/><Relationship Type="http://schemas.openxmlformats.org/officeDocument/2006/relationships/hyperlink" Target="https://github.com/nestjs/nest/issues/2261" TargetMode="External" Id="rId46"/><Relationship Type="http://schemas.openxmlformats.org/officeDocument/2006/relationships/hyperlink" Target="https://github.com/expressjs/express/issues/5999" TargetMode="External" Id="rId47"/><Relationship Type="http://schemas.openxmlformats.org/officeDocument/2006/relationships/hyperlink" Target="https://github.com/directus/directus/issues/27969" TargetMode="External" Id="rId48"/><Relationship Type="http://schemas.openxmlformats.org/officeDocument/2006/relationships/hyperlink" Target="https://github.com/advisories/GHSA-mcm9-63f2-9j32" TargetMode="External" Id="rId49"/><Relationship Type="http://schemas.openxmlformats.org/officeDocument/2006/relationships/hyperlink" Target="https://github.com/nestjs/nest/issues/384" TargetMode="External" Id="rId50"/><Relationship Type="http://schemas.openxmlformats.org/officeDocument/2006/relationships/hyperlink" Target="https://github.com/nestjs/nest/issues/13360" TargetMode="External" Id="rId51"/><Relationship Type="http://schemas.openxmlformats.org/officeDocument/2006/relationships/hyperlink" Target="https://github.com/keycloak/keycloak/issues/52378" TargetMode="External" Id="rId52"/><Relationship Type="http://schemas.openxmlformats.org/officeDocument/2006/relationships/hyperlink" Target="https://github.com/keycloak/keycloak/issues/52568" TargetMode="External" Id="rId53"/><Relationship Type="http://schemas.openxmlformats.org/officeDocument/2006/relationships/hyperlink" Target="https://github.com/nestjs/nest/issues/288" TargetMode="External" Id="rId54"/><Relationship Type="http://schemas.openxmlformats.org/officeDocument/2006/relationships/hyperlink" Target="https://github.com/advisories/GHSA-v6q3-xqxm-6f5v" TargetMode="External" Id="rId55"/><Relationship Type="http://schemas.openxmlformats.org/officeDocument/2006/relationships/hyperlink" Target="https://github.com/advisories/GHSA-53vv-xm9f-mm82" TargetMode="External" Id="rId56"/><Relationship Type="http://schemas.openxmlformats.org/officeDocument/2006/relationships/hyperlink" Target="https://github.com/nestjs/nest/issues/13093" TargetMode="External" Id="rId57"/><Relationship Type="http://schemas.openxmlformats.org/officeDocument/2006/relationships/hyperlink" Target="https://github.com/advisories/GHSA-f67j-2jqw-jpq7" TargetMode="External" Id="rId58"/><Relationship Type="http://schemas.openxmlformats.org/officeDocument/2006/relationships/hyperlink" Target="https://github.com/advisories/GHSA-798p-78g2-v556" TargetMode="External" Id="rId59"/><Relationship Type="http://schemas.openxmlformats.org/officeDocument/2006/relationships/hyperlink" Target="https://github.com/advisories/GHSA-2q76-m6w6-qgc6" TargetMode="External" Id="rId60"/><Relationship Type="http://schemas.openxmlformats.org/officeDocument/2006/relationships/hyperlink" Target="https://github.com/keycloak/keycloak/issues/49960" TargetMode="External" Id="rId61"/><Relationship Type="http://schemas.openxmlformats.org/officeDocument/2006/relationships/hyperlink" Target="https://github.com/advisories/GHSA-prgh-xp8r-p3m5" TargetMode="External" Id="rId62"/><Relationship Type="http://schemas.openxmlformats.org/officeDocument/2006/relationships/hyperlink" Target="https://github.com/nestjs/nest/issues/2557" TargetMode="External" Id="rId63"/><Relationship Type="http://schemas.openxmlformats.org/officeDocument/2006/relationships/hyperlink" Target="https://github.com/advisories/GHSA-g734-fhp4-7mfp" TargetMode="External" Id="rId64"/><Relationship Type="http://schemas.openxmlformats.org/officeDocument/2006/relationships/hyperlink" Target="https://github.com/advisories/GHSA-v6pj-gxxw-phfw" TargetMode="External" Id="rId65"/><Relationship Type="http://schemas.openxmlformats.org/officeDocument/2006/relationships/hyperlink" Target="https://github.com/advisories/GHSA-g74q-6g2f-874x" TargetMode="External" Id="rId66"/><Relationship Type="http://schemas.openxmlformats.org/officeDocument/2006/relationships/hyperlink" Target="https://github.com/keycloak/keycloak/issues/51674" TargetMode="External" Id="rId67"/><Relationship Type="http://schemas.openxmlformats.org/officeDocument/2006/relationships/hyperlink" Target="https://github.com/directus/directus/issues/27844" TargetMode="External" Id="rId68"/><Relationship Type="http://schemas.openxmlformats.org/officeDocument/2006/relationships/hyperlink" Target="https://github.com/keycloak/keycloak/issues/52776" TargetMode="External" Id="rId69"/><Relationship Type="http://schemas.openxmlformats.org/officeDocument/2006/relationships/hyperlink" Target="https://github.com/advisories/GHSA-8xcj-9hfr-fh9j" TargetMode="External" Id="rId70"/><Relationship Type="http://schemas.openxmlformats.org/officeDocument/2006/relationships/hyperlink" Target="https://github.com/advisories/GHSA-r3ph-w7gj-g6xm" TargetMode="External" Id="rId71"/><Relationship Type="http://schemas.openxmlformats.org/officeDocument/2006/relationships/hyperlink" Target="https://github.com/keycloak/keycloak/issues/49388" TargetMode="External" Id="rId72"/><Relationship Type="http://schemas.openxmlformats.org/officeDocument/2006/relationships/hyperlink" Target="https://github.com/advisories/GHSA-jp82-f5mq-hwhp" TargetMode="External" Id="rId73"/><Relationship Type="http://schemas.openxmlformats.org/officeDocument/2006/relationships/hyperlink" Target="https://github.com/advisories/GHSA-2m6q-8v3h-jqww" TargetMode="External" Id="rId74"/><Relationship Type="http://schemas.openxmlformats.org/officeDocument/2006/relationships/hyperlink" Target="https://github.com/directus/directus/issues/28042" TargetMode="External" Id="rId75"/><Relationship Type="http://schemas.openxmlformats.org/officeDocument/2006/relationships/hyperlink" Target="https://github.com/strapi/strapi/issues/26606" TargetMode="External" Id="rId76"/><Relationship Type="http://schemas.openxmlformats.org/officeDocument/2006/relationships/hyperlink" Target="https://github.com/nestjs/nest/issues/437" TargetMode="External" Id="rId77"/><Relationship Type="http://schemas.openxmlformats.org/officeDocument/2006/relationships/hyperlink" Target="https://github.com/advisories/GHSA-7c34-32v3-j575" TargetMode="External" Id="rId78"/><Relationship Type="http://schemas.openxmlformats.org/officeDocument/2006/relationships/hyperlink" Target="https://github.com/strapi/strapi/issues/26359" TargetMode="External" Id="rId79"/><Relationship Type="http://schemas.openxmlformats.org/officeDocument/2006/relationships/hyperlink" Target="https://github.com/directus/directus/issues/27412" TargetMode="External" Id="rId80"/></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Что проверять</t>
        </is>
      </c>
    </row>
    <row r="2">
      <c r="A2" t="inlineStr">
        <is>
          <t>Вопрос не «нужна ли такая проверка» и не «баг ли это вообще», а «правильно ли LLM пересказала исходный баг».</t>
        </is>
      </c>
    </row>
    <row r="3">
      <c r="A3" t="inlineStr">
        <is>
          <t>Открыть ссылку в колонке «Баг» и сравнить с колонками «Решение LLM» и «Паттерн / сопоставление»:</t>
        </is>
      </c>
    </row>
    <row r="4">
      <c r="A4" t="inlineStr">
        <is>
          <t>• Триаж: верно ли решение «API» / «вне области» и класс корзины;</t>
        </is>
      </c>
    </row>
    <row r="5">
      <c r="A5" t="inlineStr">
        <is>
          <t>• Пересказ (строки API): совпадает ли паттерн с багом — не перепутана суть, не додумано ожидание, которого нет;</t>
        </is>
      </c>
    </row>
    <row r="6">
      <c r="A6" t="inlineStr">
        <is>
          <t>• Сопоставление: действительно ли баг относится к записи (covered — уже покрыт, extends — новый вариант записи).</t>
        </is>
      </c>
    </row>
    <row r="7">
      <c r="A7" t="inlineStr"/>
    </row>
    <row r="8">
      <c r="A8" s="1" t="inlineStr">
        <is>
          <t>Как заполнять</t>
        </is>
      </c>
    </row>
    <row r="9">
      <c r="A9" t="inlineStr">
        <is>
          <t>1. Фильтр по колонке «Проверить»: «обязательно» — Claude сомневается или нашёл расхождение; «выборочно» — случайная проверка строк, где Claude считает «совпадает».</t>
        </is>
      </c>
    </row>
    <row r="10">
      <c r="A10" t="inlineStr">
        <is>
          <t>2. В «Верно (человек)» выбрать да / нет / не знаю; в «Комментарий» — почему (особенно для «нет»).</t>
        </is>
      </c>
    </row>
    <row r="11">
      <c r="A11" t="inlineStr">
        <is>
          <t>3. Остальные строки можно не трогать: засчитывается вывод Claude (и при «не знаю» тоже). Отметка да/нет всегда важнее.</t>
        </is>
      </c>
    </row>
    <row r="12">
      <c r="A12" t="inlineStr">
        <is>
          <t>4. Идеи новых проверок — тоже в «Комментарий»: Claude перенесёт их в Api/ideas/inbox.md.</t>
        </is>
      </c>
    </row>
    <row r="13">
      <c r="A13" t="inlineStr"/>
    </row>
    <row r="14">
      <c r="A14" t="inlineStr">
        <is>
          <t>Цель — не меньше 85 % верных отдельно для триажа и для сопоставления (ADR 0005).</t>
        </is>
      </c>
    </row>
    <row r="15">
      <c r="A15" t="inlineStr">
        <is>
          <t>Итог считает лист «Итог»; точный расчёт — python tools/mining/accuracy.py score --batch pilot.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26" customWidth="1" min="3" max="3"/>
    <col width="12" customWidth="1" min="4" max="4"/>
    <col width="22" customWidth="1" min="5" max="5"/>
    <col width="50" customWidth="1" min="6" max="6"/>
    <col width="60" customWidth="1" min="7" max="7"/>
    <col width="14" customWidth="1" min="8" max="8"/>
    <col width="50" customWidth="1" min="9" max="9"/>
    <col width="13" customWidth="1" min="10" max="10"/>
    <col width="14" customWidth="1" min="11" max="11"/>
    <col width="50" customWidth="1" min="12" max="12"/>
  </cols>
  <sheetData>
    <row r="1">
      <c r="A1" s="2" t="inlineStr">
        <is>
          <t>ID</t>
        </is>
      </c>
      <c r="B1" s="2" t="inlineStr">
        <is>
          <t>Раздел</t>
        </is>
      </c>
      <c r="C1" s="2" t="inlineStr">
        <is>
          <t>Баг</t>
        </is>
      </c>
      <c r="D1" s="2" t="inlineStr">
        <is>
          <t>Источник</t>
        </is>
      </c>
      <c r="E1" s="2" t="inlineStr">
        <is>
          <t>Решение LLM</t>
        </is>
      </c>
      <c r="F1" s="2" t="inlineStr">
        <is>
          <t>Паттерн / сопоставление</t>
        </is>
      </c>
      <c r="G1" s="2" t="inlineStr">
        <is>
          <t>Выдержка из бага</t>
        </is>
      </c>
      <c r="H1" s="2" t="inlineStr">
        <is>
          <t>Вывод Claude</t>
        </is>
      </c>
      <c r="I1" s="2" t="inlineStr">
        <is>
          <t>Почему</t>
        </is>
      </c>
      <c r="J1" s="2" t="inlineStr">
        <is>
          <t>Проверить</t>
        </is>
      </c>
      <c r="K1" s="2" t="inlineStr">
        <is>
          <t>Верно (человек)</t>
        </is>
      </c>
      <c r="L1" s="2" t="inlineStr">
        <is>
          <t>Комментарий</t>
        </is>
      </c>
    </row>
    <row r="2">
      <c r="A2" s="3" t="inlineStr">
        <is>
          <t>T1</t>
        </is>
      </c>
      <c r="B2" s="3" t="inlineStr">
        <is>
          <t>Триаж</t>
        </is>
      </c>
      <c r="C2" s="4" t="inlineStr">
        <is>
          <t>GHSA-jx63-h26r-8cph</t>
        </is>
      </c>
      <c r="D2" s="3" t="inlineStr">
        <is>
          <t>ghsa-npm</t>
        </is>
      </c>
      <c r="E2" s="3" t="inlineStr">
        <is>
          <t>API</t>
        </is>
      </c>
      <c r="F2" s="3" t="inlineStr">
        <is>
          <t>Регулярное выражение, заданное пользователем, не блокирует сервер</t>
        </is>
      </c>
      <c r="G2" s="3" t="inlineStr">
        <is>
          <t>accepted a user-controlled regex pattern through pathFilters and compiled it into a RegExp without complexity validation… can block the Node.js event loop</t>
        </is>
      </c>
      <c r="H2" s="5" t="inlineStr">
        <is>
          <t>совпадает</t>
        </is>
      </c>
      <c r="I2" s="3" t="inlineStr">
        <is>
          <t>Суть и ожидание совпадают</t>
        </is>
      </c>
      <c r="J2" s="3" t="inlineStr"/>
      <c r="K2" s="6" t="inlineStr">
        <is>
          <t>да</t>
        </is>
      </c>
      <c r="L2" s="7" t="inlineStr">
        <is>
          <t>да. пример: загруженные данные отличаются от сохраненных, что недопутимо. потенциальная возможность инъекции кода. обычно система должна хранить данные загруженные пользователем так как он их ввел. Если только не производится намеренная обработка данных. Максимум что допустимо "trim(val)" на случай опечаток, но и такое реальное поведение надо выяснять тестами</t>
        </is>
      </c>
    </row>
    <row r="3">
      <c r="A3" s="3" t="inlineStr">
        <is>
          <t>T2</t>
        </is>
      </c>
      <c r="B3" s="3" t="inlineStr">
        <is>
          <t>Триаж</t>
        </is>
      </c>
      <c r="C3" s="4" t="inlineStr">
        <is>
          <t>GHSA-7mx3-vvmw-hjmv</t>
        </is>
      </c>
      <c r="D3" s="3" t="inlineStr">
        <is>
          <t>ghsa-npm</t>
        </is>
      </c>
      <c r="E3" s="3" t="inlineStr">
        <is>
          <t>API</t>
        </is>
      </c>
      <c r="F3" s="3" t="inlineStr">
        <is>
          <t>Алиасы GraphQL с именами __proto__, constructor, prototype не загрязняют прототип при слиянии результатов</t>
        </is>
      </c>
      <c r="G3" s="3" t="inlineStr">
        <is>
          <t>A client can alias fields to constructor, __proto__ or prototype… wrote a subgraph-supplied value over Function.prototype.call, breaking every subsequent request</t>
        </is>
      </c>
      <c r="H3" s="5" t="inlineStr">
        <is>
          <t>совпадает</t>
        </is>
      </c>
      <c r="I3" s="3" t="inlineStr">
        <is>
          <t>Совпадает</t>
        </is>
      </c>
      <c r="J3" s="3" t="inlineStr"/>
      <c r="K3" s="6" t="inlineStr">
        <is>
          <t>не знаю</t>
        </is>
      </c>
      <c r="L3" s="7" t="inlineStr">
        <is>
          <t>не знаю. не разбираюсь в GQL</t>
        </is>
      </c>
    </row>
    <row r="4">
      <c r="A4" s="3" t="inlineStr">
        <is>
          <t>T3</t>
        </is>
      </c>
      <c r="B4" s="3" t="inlineStr">
        <is>
          <t>Триаж</t>
        </is>
      </c>
      <c r="C4" s="4" t="inlineStr">
        <is>
          <t>keycloak/keycloak#50039</t>
        </is>
      </c>
      <c r="D4" s="3" t="inlineStr">
        <is>
          <t>keycloak</t>
        </is>
      </c>
      <c r="E4" s="3" t="inlineStr">
        <is>
          <t>API</t>
        </is>
      </c>
      <c r="F4" s="3" t="inlineStr">
        <is>
          <t>Пустые и пробельные элементы в массиве строк отклоняются или отбрасываются одинаково</t>
        </is>
      </c>
      <c r="G4" s="3" t="inlineStr">
        <is>
          <t>creating a client with an empty string in redirectUris… 409 Conflict with a misleading Duplicate resource error… should be consistent across all supported databases</t>
        </is>
      </c>
      <c r="H4" s="5" t="inlineStr">
        <is>
          <t>совпадает</t>
        </is>
      </c>
      <c r="I4" s="3" t="inlineStr">
        <is>
          <t>Совпадает; «пробельные элементы» в паттерне — небольшое расширение сверх бага</t>
        </is>
      </c>
      <c r="J4" s="3" t="inlineStr"/>
      <c r="K4" s="6" t="inlineStr">
        <is>
          <t>да</t>
        </is>
      </c>
      <c r="L4" s="7" t="inlineStr">
        <is>
          <t>думаю да. имхо - надо проверять поведение и если оно не описано и/или несоответствует зравому смылслу стандартам - считать потенциальным багом, важность - по ситуации, смотря влияет ли это на поведение и/или работу системы или нет</t>
        </is>
      </c>
    </row>
    <row r="5">
      <c r="A5" s="3" t="inlineStr">
        <is>
          <t>T4</t>
        </is>
      </c>
      <c r="B5" s="3" t="inlineStr">
        <is>
          <t>Триаж</t>
        </is>
      </c>
      <c r="C5" s="4" t="inlineStr">
        <is>
          <t>GHSA-6mwv-4mrm-5p3m</t>
        </is>
      </c>
      <c r="D5" s="3" t="inlineStr">
        <is>
          <t>ghsa-npm</t>
        </is>
      </c>
      <c r="E5" s="3" t="inlineStr">
        <is>
          <t>API</t>
        </is>
      </c>
      <c r="F5" s="3" t="inlineStr">
        <is>
          <t>Параметры, из которых собирается адрес исходящего запроса (регион, поддомен, тенант), не меняют хост</t>
        </is>
      </c>
      <c r="G5" s="3" t="inlineStr">
        <is>
          <t>region: kiro-canary.local:8443# … the request forwards the submitted Kiro API key as an Authorization: Bearer header</t>
        </is>
      </c>
      <c r="H5" s="5" t="inlineStr">
        <is>
          <t>совпадает</t>
        </is>
      </c>
      <c r="I5" s="3" t="inlineStr">
        <is>
          <t>Совпадает</t>
        </is>
      </c>
      <c r="J5" s="3" t="inlineStr">
        <is>
          <t>выборочно</t>
        </is>
      </c>
      <c r="K5" s="6" t="inlineStr">
        <is>
          <t>да</t>
        </is>
      </c>
      <c r="L5" s="7" t="inlineStr">
        <is>
          <t>да. фактически спуфинг</t>
        </is>
      </c>
    </row>
    <row r="6">
      <c r="A6" s="3" t="inlineStr">
        <is>
          <t>T5</t>
        </is>
      </c>
      <c r="B6" s="3" t="inlineStr">
        <is>
          <t>Триаж</t>
        </is>
      </c>
      <c r="C6" s="4" t="inlineStr">
        <is>
          <t>keycloak/keycloak#53117</t>
        </is>
      </c>
      <c r="D6" s="3" t="inlineStr">
        <is>
          <t>keycloak</t>
        </is>
      </c>
      <c r="E6" s="3" t="inlineStr">
        <is>
          <t>API</t>
        </is>
      </c>
      <c r="F6" s="3" t="inlineStr">
        <is>
          <t>Новая версия API возвращает все публичные поля прежней (нет лишнего вырезания)</t>
        </is>
      </c>
      <c r="G6" s="3" t="inlineStr">
        <is>
          <t>The signingCertificate is public and does not need to be stripped… Get a saml client via v2</t>
        </is>
      </c>
      <c r="H6" s="5" t="inlineStr">
        <is>
          <t>совпадает</t>
        </is>
      </c>
      <c r="I6" s="3" t="inlineStr">
        <is>
          <t>Совпадает</t>
        </is>
      </c>
      <c r="J6" s="3" t="inlineStr">
        <is>
          <t>выборочно</t>
        </is>
      </c>
      <c r="K6" s="6" t="inlineStr">
        <is>
          <t>да</t>
        </is>
      </c>
      <c r="L6" s="7" t="inlineStr">
        <is>
          <t>да. если поля обызаны быть по спеке/контракту - они должны присутствовать</t>
        </is>
      </c>
    </row>
    <row r="7">
      <c r="A7" s="3" t="inlineStr">
        <is>
          <t>T6</t>
        </is>
      </c>
      <c r="B7" s="3" t="inlineStr">
        <is>
          <t>Триаж</t>
        </is>
      </c>
      <c r="C7" s="4" t="inlineStr">
        <is>
          <t>GHSA-322m-ff4g-9vx9</t>
        </is>
      </c>
      <c r="D7" s="3" t="inlineStr">
        <is>
          <t>ghsa-npm</t>
        </is>
      </c>
      <c r="E7" s="3" t="inlineStr">
        <is>
          <t>API</t>
        </is>
      </c>
      <c r="F7" s="3" t="inlineStr">
        <is>
          <t>Проверка адреса для исходящего запроса выполняется в момент подключения (защита от DNS rebinding)</t>
        </is>
      </c>
      <c r="G7" s="3" t="inlineStr">
        <is>
          <t>A validation issue allowed… Webmentions, to be abused by an unauthenticated user to make limited HTTP requests to hosts in the Ghost server's internal network (CWE-367, CWE-918)</t>
        </is>
      </c>
      <c r="H7" s="8" t="inlineStr">
        <is>
          <t>сомнение</t>
        </is>
      </c>
      <c r="I7" s="3" t="inlineStr">
        <is>
          <t>SSRF — верно, но «DNS rebinding / проверка в момент подключения» в тексте нет: выведено только из метки CWE-367 (TOCTOU)</t>
        </is>
      </c>
      <c r="J7" s="9" t="inlineStr">
        <is>
          <t>обязательно</t>
        </is>
      </c>
      <c r="K7" s="6" t="inlineStr">
        <is>
          <t>да</t>
        </is>
      </c>
      <c r="L7" s="7" t="inlineStr">
        <is>
          <t>думаю да. не специалист в этой области</t>
        </is>
      </c>
    </row>
    <row r="8">
      <c r="A8" s="3" t="inlineStr">
        <is>
          <t>T7</t>
        </is>
      </c>
      <c r="B8" s="3" t="inlineStr">
        <is>
          <t>Триаж</t>
        </is>
      </c>
      <c r="C8" s="4" t="inlineStr">
        <is>
          <t>GHSA-354h-gmhv-mr9c</t>
        </is>
      </c>
      <c r="D8" s="3" t="inlineStr">
        <is>
          <t>ghsa-npm</t>
        </is>
      </c>
      <c r="E8" s="3" t="inlineStr">
        <is>
          <t>API</t>
        </is>
      </c>
      <c r="F8" s="3" t="inlineStr">
        <is>
          <t>URL вебхука не может указывать на внутренние адреса</t>
        </is>
      </c>
      <c r="G8" s="3" t="inlineStr">
        <is>
          <t>An SSRF vulnerability in the webhooks feature allowed staff users to probe internal hosts</t>
        </is>
      </c>
      <c r="H8" s="5" t="inlineStr">
        <is>
          <t>совпадает</t>
        </is>
      </c>
      <c r="I8" s="3" t="inlineStr">
        <is>
          <t>Совпадает; «при создании и при отправке» — разумное уточнение ожидания</t>
        </is>
      </c>
      <c r="J8" s="3" t="inlineStr"/>
      <c r="K8" s="6" t="inlineStr">
        <is>
          <t>не знаю</t>
        </is>
      </c>
      <c r="L8" s="7" t="inlineStr">
        <is>
          <t>не знаю. не специалист</t>
        </is>
      </c>
    </row>
    <row r="9">
      <c r="A9" s="3" t="inlineStr">
        <is>
          <t>T8</t>
        </is>
      </c>
      <c r="B9" s="3" t="inlineStr">
        <is>
          <t>Триаж</t>
        </is>
      </c>
      <c r="C9" s="4" t="inlineStr">
        <is>
          <t>expressjs/express#6580</t>
        </is>
      </c>
      <c r="D9" s="3" t="inlineStr">
        <is>
          <t>express</t>
        </is>
      </c>
      <c r="E9" s="3" t="inlineStr">
        <is>
          <t>API</t>
        </is>
      </c>
      <c r="F9" s="3" t="inlineStr">
        <is>
          <t>API, доступный по HTTP/2, обрабатывает запросы так же, как по HTTP/1.1</t>
        </is>
      </c>
      <c r="G9" s="3" t="inlineStr">
        <is>
          <t>express crashing when using node internal http2 module on sending any request</t>
        </is>
      </c>
      <c r="H9" s="5" t="inlineStr">
        <is>
          <t>совпадает</t>
        </is>
      </c>
      <c r="I9" s="3" t="inlineStr">
        <is>
          <t>Совпадает</t>
        </is>
      </c>
      <c r="J9" s="3" t="inlineStr"/>
      <c r="K9" s="6" t="inlineStr">
        <is>
          <t>да</t>
        </is>
      </c>
      <c r="L9" s="7" t="inlineStr">
        <is>
          <t>да. либо недоступен либо работает одинаково.</t>
        </is>
      </c>
    </row>
    <row r="10">
      <c r="A10" s="3" t="inlineStr">
        <is>
          <t>T9</t>
        </is>
      </c>
      <c r="B10" s="3" t="inlineStr">
        <is>
          <t>Триаж</t>
        </is>
      </c>
      <c r="C10" s="4" t="inlineStr">
        <is>
          <t>GHSA-cw9w-vv67-hf73</t>
        </is>
      </c>
      <c r="D10" s="3" t="inlineStr">
        <is>
          <t>ghsa-npm</t>
        </is>
      </c>
      <c r="E10" s="3" t="inlineStr">
        <is>
          <t>API</t>
        </is>
      </c>
      <c r="F10" s="3" t="inlineStr">
        <is>
          <t>Обновление токена не расширяет аудиторию за пределы согласованного ресурса</t>
        </is>
      </c>
      <c r="G10" s="3" t="inlineStr">
        <is>
          <t>Refreshing only checked that the requested resource was registered, not that it matched the original grant</t>
        </is>
      </c>
      <c r="H10" s="5" t="inlineStr">
        <is>
          <t>совпадает</t>
        </is>
      </c>
      <c r="I10" s="3" t="inlineStr">
        <is>
          <t>Совпадает; invalid_target — по RFC 8707</t>
        </is>
      </c>
      <c r="J10" s="3" t="inlineStr"/>
      <c r="K10" s="6" t="inlineStr">
        <is>
          <t>да</t>
        </is>
      </c>
      <c r="L10" s="7" t="inlineStr">
        <is>
          <t>да. тесты на безопасность. потенциальный взлом</t>
        </is>
      </c>
    </row>
    <row r="11">
      <c r="A11" s="3" t="inlineStr">
        <is>
          <t>T10</t>
        </is>
      </c>
      <c r="B11" s="3" t="inlineStr">
        <is>
          <t>Триаж</t>
        </is>
      </c>
      <c r="C11" s="4" t="inlineStr">
        <is>
          <t>GHSA-jp82-f5mq-hwhp</t>
        </is>
      </c>
      <c r="D11" s="3" t="inlineStr">
        <is>
          <t>ghsa-npm</t>
        </is>
      </c>
      <c r="E11" s="3" t="inlineStr">
        <is>
          <t>API</t>
        </is>
      </c>
      <c r="F11" s="3" t="inlineStr">
        <is>
          <t>Объявленная длина в сериализованных данных не приводит к выделению без лимита</t>
        </is>
      </c>
      <c r="G11" s="3" t="inlineStr">
        <is>
          <t>never bounds the element count… a tiny payload can name any allocation size, and it runs synchronously</t>
        </is>
      </c>
      <c r="H11" s="5" t="inlineStr">
        <is>
          <t>совпадает</t>
        </is>
      </c>
      <c r="I11" s="3" t="inlineStr">
        <is>
          <t>Совпадает</t>
        </is>
      </c>
      <c r="J11" s="3" t="inlineStr"/>
      <c r="K11" s="6" t="n"/>
      <c r="L11" s="7" t="n"/>
    </row>
    <row r="12">
      <c r="A12" s="3" t="inlineStr">
        <is>
          <t>T11</t>
        </is>
      </c>
      <c r="B12" s="3" t="inlineStr">
        <is>
          <t>Триаж</t>
        </is>
      </c>
      <c r="C12" s="4" t="inlineStr">
        <is>
          <t>expressjs/body-parser#119</t>
        </is>
      </c>
      <c r="D12" s="3" t="inlineStr">
        <is>
          <t>body-parser</t>
        </is>
      </c>
      <c r="E12" s="3" t="inlineStr">
        <is>
          <t>API</t>
        </is>
      </c>
      <c r="F12" s="3" t="inlineStr">
        <is>
          <t>Разные виды невалидного JSON дают ошибку одного класса и формата</t>
        </is>
      </c>
      <c r="G12" s="3" t="inlineStr">
        <is>
          <t>If my body is "bad" an Error is sent, but if my body is "{bad" a SyntaxError is sent</t>
        </is>
      </c>
      <c r="H12" s="5" t="inlineStr">
        <is>
          <t>совпадает</t>
        </is>
      </c>
      <c r="I12" s="3" t="inlineStr">
        <is>
          <t>Совпадает; «одинаковый статус 400» — уточнение ожидания</t>
        </is>
      </c>
      <c r="J12" s="3" t="inlineStr">
        <is>
          <t>выборочно</t>
        </is>
      </c>
      <c r="K12" s="6" t="n"/>
      <c r="L12" s="7" t="n"/>
    </row>
    <row r="13">
      <c r="A13" s="3" t="inlineStr">
        <is>
          <t>T12</t>
        </is>
      </c>
      <c r="B13" s="3" t="inlineStr">
        <is>
          <t>Триаж</t>
        </is>
      </c>
      <c r="C13" s="4" t="inlineStr">
        <is>
          <t>keycloak/keycloak#51527</t>
        </is>
      </c>
      <c r="D13" s="3" t="inlineStr">
        <is>
          <t>keycloak</t>
        </is>
      </c>
      <c r="E13" s="3" t="inlineStr">
        <is>
          <t>API</t>
        </is>
      </c>
      <c r="F13" s="3" t="inlineStr">
        <is>
          <t>Явный null в PATCH для секрета не обходит политику ротации</t>
        </is>
      </c>
      <c r="G13" s="3" t="inlineStr">
        <is>
          <t>PATCH a client with an explicit null for the secret… the old secret is destroyed without a grace period</t>
        </is>
      </c>
      <c r="H13" s="5" t="inlineStr">
        <is>
          <t>совпадает</t>
        </is>
      </c>
      <c r="I13" s="3" t="inlineStr">
        <is>
          <t>Совпадает</t>
        </is>
      </c>
      <c r="J13" s="3" t="inlineStr"/>
      <c r="K13" s="6" t="n"/>
      <c r="L13" s="7" t="n"/>
    </row>
    <row r="14">
      <c r="A14" s="3" t="inlineStr">
        <is>
          <t>T13</t>
        </is>
      </c>
      <c r="B14" s="3" t="inlineStr">
        <is>
          <t>Триаж</t>
        </is>
      </c>
      <c r="C14" s="4" t="inlineStr">
        <is>
          <t>nestjs/nest#13910</t>
        </is>
      </c>
      <c r="D14" s="3" t="inlineStr">
        <is>
          <t>nestjs-nest</t>
        </is>
      </c>
      <c r="E14" s="3" t="inlineStr">
        <is>
          <t>API</t>
        </is>
      </c>
      <c r="F14" s="3" t="inlineStr">
        <is>
          <t>Остановка сервиса с открытыми долгими соединениями завершается за отведённое время</t>
        </is>
      </c>
      <c r="G14" s="3" t="inlineStr">
        <is>
          <t>if there's a long running connection that wasn't handled by that socket.io adapter, we now block forever (on application shutdown)</t>
        </is>
      </c>
      <c r="H14" s="8" t="inlineStr">
        <is>
          <t>сомнение</t>
        </is>
      </c>
      <c r="I14" s="3" t="inlineStr">
        <is>
          <t>Пересказ верный, но триаж спорный: зависание остановки видно по процессу, а не запросами к API</t>
        </is>
      </c>
      <c r="J14" s="9" t="inlineStr">
        <is>
          <t>обязательно</t>
        </is>
      </c>
      <c r="K14" s="6" t="n"/>
      <c r="L14" s="7" t="n"/>
    </row>
    <row r="15">
      <c r="A15" s="3" t="inlineStr">
        <is>
          <t>T14</t>
        </is>
      </c>
      <c r="B15" s="3" t="inlineStr">
        <is>
          <t>Триаж</t>
        </is>
      </c>
      <c r="C15" s="4" t="inlineStr">
        <is>
          <t>strapi/strapi#27395</t>
        </is>
      </c>
      <c r="D15" s="3" t="inlineStr">
        <is>
          <t>strapi</t>
        </is>
      </c>
      <c r="E15" s="3" t="inlineStr">
        <is>
          <t>API</t>
        </is>
      </c>
      <c r="F15" s="3" t="inlineStr">
        <is>
          <t>Схемы, которые API публикует (OpenAPI, JSON Schema, MCP tools), валидны в заявленном диалекте и проходят строгий валидатор</t>
        </is>
      </c>
      <c r="G15" s="3" t="inlineStr">
        <is>
          <t>MCP tools/list advertises draft-07 JSON Schema, making all tools uncallable from strict 2020-12 clients</t>
        </is>
      </c>
      <c r="H15" s="5" t="inlineStr">
        <is>
          <t>совпадает</t>
        </is>
      </c>
      <c r="I15" s="3" t="inlineStr">
        <is>
          <t>Совпадает</t>
        </is>
      </c>
      <c r="J15" s="3" t="inlineStr"/>
      <c r="K15" s="6" t="n"/>
      <c r="L15" s="7" t="n"/>
    </row>
    <row r="16">
      <c r="A16" s="3" t="inlineStr">
        <is>
          <t>T15</t>
        </is>
      </c>
      <c r="B16" s="3" t="inlineStr">
        <is>
          <t>Триаж</t>
        </is>
      </c>
      <c r="C16" s="4" t="inlineStr">
        <is>
          <t>GHSA-v6q3-xqxm-6f5v</t>
        </is>
      </c>
      <c r="D16" s="3" t="inlineStr">
        <is>
          <t>ghsa-npm</t>
        </is>
      </c>
      <c r="E16" s="3" t="inlineStr">
        <is>
          <t>API</t>
        </is>
      </c>
      <c r="F16" s="3" t="inlineStr">
        <is>
          <t>Фильтр по скрытому секретному полю не позволяет подобрать его значение</t>
        </is>
      </c>
      <c r="G16" s="3" t="inlineStr">
        <is>
          <t>Staff users with permission to view staff invites were able to discover the secret token of pending invites (CWE-203, CWE-943)</t>
        </is>
      </c>
      <c r="H16" s="8" t="inlineStr">
        <is>
          <t>сомнение</t>
        </is>
      </c>
      <c r="I16" s="3" t="inlineStr">
        <is>
          <t>Способ «фильтр по скрытому полю как оракул» в тексте не назван — выведен из CWE-943/203; правдоподобно, но не подтверждено</t>
        </is>
      </c>
      <c r="J16" s="9" t="inlineStr">
        <is>
          <t>обязательно</t>
        </is>
      </c>
      <c r="K16" s="6" t="n"/>
      <c r="L16" s="7" t="n"/>
    </row>
    <row r="17">
      <c r="A17" s="3" t="inlineStr">
        <is>
          <t>T16</t>
        </is>
      </c>
      <c r="B17" s="3" t="inlineStr">
        <is>
          <t>Триаж</t>
        </is>
      </c>
      <c r="C17" s="4" t="inlineStr">
        <is>
          <t>keycloak/keycloak#49611</t>
        </is>
      </c>
      <c r="D17" s="3" t="inlineStr">
        <is>
          <t>keycloak</t>
        </is>
      </c>
      <c r="E17" s="3" t="inlineStr">
        <is>
          <t>API</t>
        </is>
      </c>
      <c r="F17" s="3" t="inlineStr">
        <is>
          <t>Все задокументированные схемы Authorization принимаются на своих эндпоинтах</t>
        </is>
      </c>
      <c r="G17" s="3" t="inlineStr">
        <is>
          <t>It is only possible to create realm extensions using Bearer or DPop… Expected: a different authorisation scheme (e.g. Basic Auth)</t>
        </is>
      </c>
      <c r="H17" s="5" t="inlineStr">
        <is>
          <t>совпадает</t>
        </is>
      </c>
      <c r="I17" s="3" t="inlineStr">
        <is>
          <t>Совпадает</t>
        </is>
      </c>
      <c r="J17" s="3" t="inlineStr"/>
      <c r="K17" s="6" t="n"/>
      <c r="L17" s="7" t="n"/>
    </row>
    <row r="18">
      <c r="A18" s="3" t="inlineStr">
        <is>
          <t>T17</t>
        </is>
      </c>
      <c r="B18" s="3" t="inlineStr">
        <is>
          <t>Триаж</t>
        </is>
      </c>
      <c r="C18" s="4" t="inlineStr">
        <is>
          <t>keycloak/keycloak#49909</t>
        </is>
      </c>
      <c r="D18" s="3" t="inlineStr">
        <is>
          <t>keycloak</t>
        </is>
      </c>
      <c r="E18" s="3" t="inlineStr">
        <is>
          <t>API</t>
        </is>
      </c>
      <c r="F18" s="3" t="inlineStr">
        <is>
          <t>Просроченный токен отклоняется 401 на каждом защищённом эндпоинте</t>
        </is>
      </c>
      <c r="G18" s="3" t="inlineStr">
        <is>
          <t>sending an invalid (e.g. expired) token to …/clients-registrations/openid-connect… returns with a 500 response</t>
        </is>
      </c>
      <c r="H18" s="5" t="inlineStr">
        <is>
          <t>совпадает</t>
        </is>
      </c>
      <c r="I18" s="3" t="inlineStr">
        <is>
          <t>Совпадает</t>
        </is>
      </c>
      <c r="J18" s="3" t="inlineStr"/>
      <c r="K18" s="6" t="n"/>
      <c r="L18" s="7" t="n"/>
    </row>
    <row r="19">
      <c r="A19" s="3" t="inlineStr">
        <is>
          <t>T18</t>
        </is>
      </c>
      <c r="B19" s="3" t="inlineStr">
        <is>
          <t>Триаж</t>
        </is>
      </c>
      <c r="C19" s="4" t="inlineStr">
        <is>
          <t>expressjs/session#239</t>
        </is>
      </c>
      <c r="D19" s="3" t="inlineStr">
        <is>
          <t>express-session</t>
        </is>
      </c>
      <c r="E19" s="3" t="inlineStr">
        <is>
          <t>API</t>
        </is>
      </c>
      <c r="F19" s="3" t="inlineStr">
        <is>
          <t>Анонимный запрос без входа не получает cookie сессии и не создаёт сессию</t>
        </is>
      </c>
      <c r="G19" s="3" t="inlineStr">
        <is>
          <t>the session cookie is being set for uninitialized sessions even when saveUninitialized is disabled if rolling is enabled</t>
        </is>
      </c>
      <c r="H19" s="5" t="inlineStr">
        <is>
          <t>совпадает</t>
        </is>
      </c>
      <c r="I19" s="3" t="inlineStr">
        <is>
          <t>Совпадает</t>
        </is>
      </c>
      <c r="J19" s="3" t="inlineStr"/>
      <c r="K19" s="6" t="n"/>
      <c r="L19" s="7" t="n"/>
    </row>
    <row r="20">
      <c r="A20" s="3" t="inlineStr">
        <is>
          <t>T19</t>
        </is>
      </c>
      <c r="B20" s="3" t="inlineStr">
        <is>
          <t>Триаж</t>
        </is>
      </c>
      <c r="C20" s="4" t="inlineStr">
        <is>
          <t>directus/directus#26768</t>
        </is>
      </c>
      <c r="D20" s="3" t="inlineStr">
        <is>
          <t>directus</t>
        </is>
      </c>
      <c r="E20" s="3" t="inlineStr">
        <is>
          <t>API</t>
        </is>
      </c>
      <c r="F20" s="3" t="inlineStr">
        <is>
          <t>Агрегат общего количества равен реальному числу записей и не ограничен размером страницы по умолчанию</t>
        </is>
      </c>
      <c r="G20" s="3" t="inlineStr">
        <is>
          <t>countAll… leads to SELECT * FROM &lt;table&gt; LIMIT 100 instead of SELECT COUNT(*)</t>
        </is>
      </c>
      <c r="H20" s="5" t="inlineStr">
        <is>
          <t>совпадает</t>
        </is>
      </c>
      <c r="I20" s="3" t="inlineStr">
        <is>
          <t>Совпадает</t>
        </is>
      </c>
      <c r="J20" s="3" t="inlineStr"/>
      <c r="K20" s="6" t="n"/>
      <c r="L20" s="7" t="n"/>
    </row>
    <row r="21">
      <c r="A21" s="3" t="inlineStr">
        <is>
          <t>T20</t>
        </is>
      </c>
      <c r="B21" s="3" t="inlineStr">
        <is>
          <t>Триаж</t>
        </is>
      </c>
      <c r="C21" s="4" t="inlineStr">
        <is>
          <t>strapi/strapi#27235</t>
        </is>
      </c>
      <c r="D21" s="3" t="inlineStr">
        <is>
          <t>strapi</t>
        </is>
      </c>
      <c r="E21" s="3" t="inlineStr">
        <is>
          <t>API</t>
        </is>
      </c>
      <c r="F21" s="3" t="inlineStr">
        <is>
          <t>Логически эквивалентные фильтры с разной вложенностью $and/$or дают одинаковый ответ</t>
        </is>
      </c>
      <c r="G21" s="3" t="inlineStr">
        <is>
          <t>a nested populate derived from a filter can be silently discarded depending on… filter nesting depth</t>
        </is>
      </c>
      <c r="H21" s="5" t="inlineStr">
        <is>
          <t>совпадает</t>
        </is>
      </c>
      <c r="I21" s="3" t="inlineStr">
        <is>
          <t>Совпадает</t>
        </is>
      </c>
      <c r="J21" s="3" t="inlineStr"/>
      <c r="K21" s="6" t="n"/>
      <c r="L21" s="7" t="n"/>
    </row>
    <row r="22">
      <c r="A22" s="3" t="inlineStr">
        <is>
          <t>T21</t>
        </is>
      </c>
      <c r="B22" s="3" t="inlineStr">
        <is>
          <t>Триаж</t>
        </is>
      </c>
      <c r="C22" s="4" t="inlineStr">
        <is>
          <t>GHSA-xgv3-crq2-6f69</t>
        </is>
      </c>
      <c r="D22" s="3" t="inlineStr">
        <is>
          <t>ghsa-npm</t>
        </is>
      </c>
      <c r="E22" s="3" t="inlineStr">
        <is>
          <t>API</t>
        </is>
      </c>
      <c r="F22" s="3" t="inlineStr">
        <is>
          <t>Ответы аутентификации применяют полевые права и скрытые поля</t>
        </is>
      </c>
      <c r="G22" s="3" t="inlineStr">
        <is>
          <t>Token refresh and password reset responses could return fields that the requesting user did not have access to</t>
        </is>
      </c>
      <c r="H22" s="5" t="inlineStr">
        <is>
          <t>совпадает</t>
        </is>
      </c>
      <c r="I22" s="3" t="inlineStr">
        <is>
          <t>Совпадает</t>
        </is>
      </c>
      <c r="J22" s="3" t="inlineStr"/>
      <c r="K22" s="6" t="n"/>
      <c r="L22" s="7" t="n"/>
    </row>
    <row r="23">
      <c r="A23" s="3" t="inlineStr">
        <is>
          <t>T22</t>
        </is>
      </c>
      <c r="B23" s="3" t="inlineStr">
        <is>
          <t>Триаж</t>
        </is>
      </c>
      <c r="C23" s="4" t="inlineStr">
        <is>
          <t>GHSA-pj7x-6wpf-pgvp</t>
        </is>
      </c>
      <c r="D23" s="3" t="inlineStr">
        <is>
          <t>ghsa-npm</t>
        </is>
      </c>
      <c r="E23" s="3" t="inlineStr">
        <is>
          <t>API</t>
        </is>
      </c>
      <c r="F23" s="3" t="inlineStr">
        <is>
          <t>Путь к вложенному полю JSON в фильтре не позволяет SQL-инъекцию</t>
        </is>
      </c>
      <c r="G23" s="3" t="inlineStr">
        <is>
          <t>SQL injection targeting a specific field path shape and operators… a readable collection has a json field</t>
        </is>
      </c>
      <c r="H23" s="5" t="inlineStr">
        <is>
          <t>совпадает</t>
        </is>
      </c>
      <c r="I23" s="3" t="inlineStr">
        <is>
          <t>Совпадает</t>
        </is>
      </c>
      <c r="J23" s="3" t="inlineStr"/>
      <c r="K23" s="6" t="n"/>
      <c r="L23" s="7" t="n"/>
    </row>
    <row r="24">
      <c r="A24" s="3" t="inlineStr">
        <is>
          <t>T23</t>
        </is>
      </c>
      <c r="B24" s="3" t="inlineStr">
        <is>
          <t>Триаж</t>
        </is>
      </c>
      <c r="C24" s="4" t="inlineStr">
        <is>
          <t>expressjs/session#340</t>
        </is>
      </c>
      <c r="D24" s="3" t="inlineStr">
        <is>
          <t>express-session</t>
        </is>
      </c>
      <c r="E24" s="3" t="inlineStr">
        <is>
          <t>API</t>
        </is>
      </c>
      <c r="F24" s="3" t="inlineStr">
        <is>
          <t>Скользящая сессия продлевается при активности: срок на сервере и в cookie обновляется</t>
        </is>
      </c>
      <c r="G24" s="3" t="inlineStr">
        <is>
          <t>race condition, where save is called before session is touched, which… makes session expiration time not updated</t>
        </is>
      </c>
      <c r="H24" s="5" t="inlineStr">
        <is>
          <t>совпадает</t>
        </is>
      </c>
      <c r="I24" s="3" t="inlineStr">
        <is>
          <t>Совпадает</t>
        </is>
      </c>
      <c r="J24" s="3" t="inlineStr"/>
      <c r="K24" s="6" t="n"/>
      <c r="L24" s="7" t="n"/>
    </row>
    <row r="25">
      <c r="A25" s="3" t="inlineStr">
        <is>
          <t>T24</t>
        </is>
      </c>
      <c r="B25" s="3" t="inlineStr">
        <is>
          <t>Триаж</t>
        </is>
      </c>
      <c r="C25" s="4" t="inlineStr">
        <is>
          <t>nestjs/nest#3939</t>
        </is>
      </c>
      <c r="D25" s="3" t="inlineStr">
        <is>
          <t>nestjs-nest</t>
        </is>
      </c>
      <c r="E25" s="3" t="inlineStr">
        <is>
          <t>API</t>
        </is>
      </c>
      <c r="F25" s="3" t="inlineStr">
        <is>
          <t>Политика CORS</t>
        </is>
      </c>
      <c r="G25" s="3" t="inlineStr">
        <is>
          <t>Fastify CORS not working after running nest update (только код запуска, без запросов и ответов)</t>
        </is>
      </c>
      <c r="H25" s="8" t="inlineStr">
        <is>
          <t>сомнение</t>
        </is>
      </c>
      <c r="I25" s="3" t="inlineStr">
        <is>
          <t>Паттерн «Политика CORS» слишком общий; данных мало — ближе к insufficient-data</t>
        </is>
      </c>
      <c r="J25" s="9" t="inlineStr">
        <is>
          <t>обязательно</t>
        </is>
      </c>
      <c r="K25" s="6" t="n"/>
      <c r="L25" s="7" t="n"/>
    </row>
    <row r="26">
      <c r="A26" s="3" t="inlineStr">
        <is>
          <t>T25</t>
        </is>
      </c>
      <c r="B26" s="3" t="inlineStr">
        <is>
          <t>Триаж</t>
        </is>
      </c>
      <c r="C26" s="4" t="inlineStr">
        <is>
          <t>strapi/strapi#26746</t>
        </is>
      </c>
      <c r="D26" s="3" t="inlineStr">
        <is>
          <t>strapi</t>
        </is>
      </c>
      <c r="E26" s="3" t="inlineStr">
        <is>
          <t>API</t>
        </is>
      </c>
      <c r="F26" s="3" t="inlineStr">
        <is>
          <t>Сортировка по вычисляемому полю вместе с фильтром по связи не даёт 5xx</t>
        </is>
      </c>
      <c r="G26" s="3" t="inlineStr">
        <is>
          <t>returns a 500 when you at the same time apply a filter that targets a related collection type, and sort by Status</t>
        </is>
      </c>
      <c r="H26" s="5" t="inlineStr">
        <is>
          <t>совпадает</t>
        </is>
      </c>
      <c r="I26" s="3" t="inlineStr">
        <is>
          <t>Совпадает</t>
        </is>
      </c>
      <c r="J26" s="3" t="inlineStr">
        <is>
          <t>выборочно</t>
        </is>
      </c>
      <c r="K26" s="6" t="n"/>
      <c r="L26" s="7" t="n"/>
    </row>
    <row r="27">
      <c r="A27" s="3" t="inlineStr">
        <is>
          <t>T26</t>
        </is>
      </c>
      <c r="B27" s="3" t="inlineStr">
        <is>
          <t>Триаж</t>
        </is>
      </c>
      <c r="C27" s="4" t="inlineStr">
        <is>
          <t>GHSA-m8m8-qj5v-23w3</t>
        </is>
      </c>
      <c r="D27" s="3" t="inlineStr">
        <is>
          <t>ghsa-npm</t>
        </is>
      </c>
      <c r="E27" s="3" t="inlineStr">
        <is>
          <t>вне области: other</t>
        </is>
      </c>
      <c r="F27" s="3" t="inlineStr">
        <is>
          <t>Гаджет prototype pollution в HTTP-клиенте, требует примитива загрязнения в том же процессе — не обнаружить запросами</t>
        </is>
      </c>
      <c r="G27" s="3" t="inlineStr">
        <is>
          <t>Given a prior same-process prototype-pollution primitive… Axios does not create the prototype pollution source</t>
        </is>
      </c>
      <c r="H27" s="5" t="inlineStr">
        <is>
          <t>совпадает</t>
        </is>
      </c>
      <c r="I27" s="3" t="inlineStr">
        <is>
          <t>Вне области верно: клиентская библиотека, нужен примитив в процессе</t>
        </is>
      </c>
      <c r="J27" s="3" t="inlineStr"/>
      <c r="K27" s="6" t="n"/>
      <c r="L27" s="7" t="n"/>
    </row>
    <row r="28">
      <c r="A28" s="3" t="inlineStr">
        <is>
          <t>T27</t>
        </is>
      </c>
      <c r="B28" s="3" t="inlineStr">
        <is>
          <t>Триаж</t>
        </is>
      </c>
      <c r="C28" s="4" t="inlineStr">
        <is>
          <t>nestjs/nest#484</t>
        </is>
      </c>
      <c r="D28" s="3" t="inlineStr">
        <is>
          <t>nestjs-nest</t>
        </is>
      </c>
      <c r="E28" s="3" t="inlineStr">
        <is>
          <t>вне области: other</t>
        </is>
      </c>
      <c r="F28" s="3" t="inlineStr">
        <is>
          <t>Ошибка e2e-тестов GraphQL-приложения — тестовое окружение.</t>
        </is>
      </c>
      <c r="G28" s="3" t="inlineStr">
        <is>
          <t>The app works fine, but when I run e2e tests, it fails</t>
        </is>
      </c>
      <c r="H28" s="5" t="inlineStr">
        <is>
          <t>совпадает</t>
        </is>
      </c>
      <c r="I28" s="3" t="inlineStr">
        <is>
          <t>Вне области верно: тестовое окружение</t>
        </is>
      </c>
      <c r="J28" s="3" t="inlineStr"/>
      <c r="K28" s="6" t="n"/>
      <c r="L28" s="7" t="n"/>
    </row>
    <row r="29">
      <c r="A29" s="3" t="inlineStr">
        <is>
          <t>T28</t>
        </is>
      </c>
      <c r="B29" s="3" t="inlineStr">
        <is>
          <t>Триаж</t>
        </is>
      </c>
      <c r="C29" s="4" t="inlineStr">
        <is>
          <t>nestjs/nest#491</t>
        </is>
      </c>
      <c r="D29" s="3" t="inlineStr">
        <is>
          <t>nestjs-nest</t>
        </is>
      </c>
      <c r="E29" s="3" t="inlineStr">
        <is>
          <t>вне области: memory</t>
        </is>
      </c>
      <c r="F29" s="3" t="inlineStr">
        <is>
          <t>Обработчик сообщения навешивается на каждый запрос с неверным паттерном — рост памяти.</t>
        </is>
      </c>
      <c r="G29" s="3" t="inlineStr">
        <is>
          <t>Each time you send a message, it binds once. This callback function is called N+1 times… memory leak?</t>
        </is>
      </c>
      <c r="H29" s="5" t="inlineStr">
        <is>
          <t>совпадает</t>
        </is>
      </c>
      <c r="I29" s="3" t="inlineStr">
        <is>
          <t>Вне области (memory) верно</t>
        </is>
      </c>
      <c r="J29" s="3" t="inlineStr"/>
      <c r="K29" s="6" t="n"/>
      <c r="L29" s="7" t="n"/>
    </row>
    <row r="30">
      <c r="A30" s="3" t="inlineStr">
        <is>
          <t>T29</t>
        </is>
      </c>
      <c r="B30" s="3" t="inlineStr">
        <is>
          <t>Триаж</t>
        </is>
      </c>
      <c r="C30" s="4" t="inlineStr">
        <is>
          <t>nestjs/nest#1320</t>
        </is>
      </c>
      <c r="D30" s="3" t="inlineStr">
        <is>
          <t>nestjs-nest</t>
        </is>
      </c>
      <c r="E30" s="3" t="inlineStr">
        <is>
          <t>вне области: other</t>
        </is>
      </c>
      <c r="F30" s="3" t="inlineStr">
        <is>
          <t>Предупреждение об устаревании в тестах из-за мутации метаданных — тестовые утилиты.</t>
        </is>
      </c>
      <c r="G30" s="3" t="inlineStr">
        <is>
          <t>the following deprecation warning is printed… metadata passed to @Module() is directly mutated</t>
        </is>
      </c>
      <c r="H30" s="5" t="inlineStr">
        <is>
          <t>совпадает</t>
        </is>
      </c>
      <c r="I30" s="3" t="inlineStr">
        <is>
          <t>Вне области верно: предупреждение в тестах</t>
        </is>
      </c>
      <c r="J30" s="3" t="inlineStr"/>
      <c r="K30" s="6" t="n"/>
      <c r="L30" s="7" t="n"/>
    </row>
    <row r="31">
      <c r="A31" s="3" t="inlineStr">
        <is>
          <t>T30</t>
        </is>
      </c>
      <c r="B31" s="3" t="inlineStr">
        <is>
          <t>Триаж</t>
        </is>
      </c>
      <c r="C31" s="4" t="inlineStr">
        <is>
          <t>expressjs/session#85</t>
        </is>
      </c>
      <c r="D31" s="3" t="inlineStr">
        <is>
          <t>express-session</t>
        </is>
      </c>
      <c r="E31" s="3" t="inlineStr">
        <is>
          <t>вне области: other</t>
        </is>
      </c>
      <c r="F31" s="3" t="inlineStr">
        <is>
          <t>Сбой сохранения в пользовательском хранилище сессий из-за функций в объекте — внутренняя логика</t>
        </is>
      </c>
      <c r="G31" s="3" t="inlineStr">
        <is>
          <t>custom session store… TypeError: Object function save()… has no method 'apply'</t>
        </is>
      </c>
      <c r="H31" s="5" t="inlineStr">
        <is>
          <t>совпадает</t>
        </is>
      </c>
      <c r="I31" s="3" t="inlineStr">
        <is>
          <t>Вне области верно: сбой интеграции со своим хранилищем</t>
        </is>
      </c>
      <c r="J31" s="3" t="inlineStr">
        <is>
          <t>выборочно</t>
        </is>
      </c>
      <c r="K31" s="6" t="n"/>
      <c r="L31" s="7" t="n"/>
    </row>
    <row r="32">
      <c r="A32" s="3" t="inlineStr">
        <is>
          <t>T31</t>
        </is>
      </c>
      <c r="B32" s="3" t="inlineStr">
        <is>
          <t>Триаж</t>
        </is>
      </c>
      <c r="C32" s="4" t="inlineStr">
        <is>
          <t>GHSA-hx4r-w6wj-j8fg</t>
        </is>
      </c>
      <c r="D32" s="3" t="inlineStr">
        <is>
          <t>ghsa-npm</t>
        </is>
      </c>
      <c r="E32" s="3" t="inlineStr">
        <is>
          <t>вне области: other</t>
        </is>
      </c>
      <c r="F32" s="3" t="inlineStr">
        <is>
          <t>devalue: CPU на разреженных массивах в uneval — по словам авторов практически неэксплуатируемо.</t>
        </is>
      </c>
      <c r="G32" s="3" t="inlineStr">
        <is>
          <t>Since attacker-controlled creation of sparse arrays is so difficult, this vulnerability is very difficult to exploit</t>
        </is>
      </c>
      <c r="H32" s="5" t="inlineStr">
        <is>
          <t>совпадает</t>
        </is>
      </c>
      <c r="I32" s="3" t="inlineStr">
        <is>
          <t>Вне области допустимо: сериализатор, практически неэксплуатируемо</t>
        </is>
      </c>
      <c r="J32" s="3" t="inlineStr"/>
      <c r="K32" s="6" t="n"/>
      <c r="L32" s="7" t="n"/>
    </row>
    <row r="33">
      <c r="A33" s="3" t="inlineStr">
        <is>
          <t>T32</t>
        </is>
      </c>
      <c r="B33" s="3" t="inlineStr">
        <is>
          <t>Триаж</t>
        </is>
      </c>
      <c r="C33" s="4" t="inlineStr">
        <is>
          <t>GHSA-wf3x-273g-mvxv</t>
        </is>
      </c>
      <c r="D33" s="3" t="inlineStr">
        <is>
          <t>ghsa-npm</t>
        </is>
      </c>
      <c r="E33" s="3" t="inlineStr">
        <is>
          <t>вне области: other</t>
        </is>
      </c>
      <c r="F33" s="3" t="inlineStr">
        <is>
          <t>devalue: выделение памяти при исполнении вывода uneval у клиента — клиентская сторона.</t>
        </is>
      </c>
      <c r="G33" s="3" t="inlineStr">
        <is>
          <t>can cause large memory allocation in a consuming browser/runtime… the browser tab running out of memory</t>
        </is>
      </c>
      <c r="H33" s="5" t="inlineStr">
        <is>
          <t>совпадает</t>
        </is>
      </c>
      <c r="I33" s="3" t="inlineStr">
        <is>
          <t>Вне области верно: клиентская сторона</t>
        </is>
      </c>
      <c r="J33" s="3" t="inlineStr"/>
      <c r="K33" s="6" t="n"/>
      <c r="L33" s="7" t="n"/>
    </row>
    <row r="34">
      <c r="A34" s="3" t="inlineStr">
        <is>
          <t>T33</t>
        </is>
      </c>
      <c r="B34" s="3" t="inlineStr">
        <is>
          <t>Триаж</t>
        </is>
      </c>
      <c r="C34" s="4" t="inlineStr">
        <is>
          <t>nestjs/nest#10333</t>
        </is>
      </c>
      <c r="D34" s="3" t="inlineStr">
        <is>
          <t>nestjs-nest</t>
        </is>
      </c>
      <c r="E34" s="3" t="inlineStr">
        <is>
          <t>вне области: other</t>
        </is>
      </c>
      <c r="F34" s="3" t="inlineStr">
        <is>
          <t>Поведение адаптера фреймворка при ручной асинхронной отправке ответа</t>
        </is>
      </c>
      <c r="G34" s="3" t="inlineStr">
        <is>
          <t>curl localhost:3000/test-res-bug -v — You will get an empty response body back, instead of the expected "hello world"</t>
        </is>
      </c>
      <c r="H34" s="10" t="inlineStr">
        <is>
          <t>не совпадает</t>
        </is>
      </c>
      <c r="I34" s="3" t="inlineStr">
        <is>
          <t>Видно снаружи: эндпоинт отдаёт пустое тело вместо данных — это api (ответ отправляется раньше обработчика), а не внутреннее поведение адаптера</t>
        </is>
      </c>
      <c r="J34" s="9" t="inlineStr">
        <is>
          <t>обязательно</t>
        </is>
      </c>
      <c r="K34" s="6" t="n"/>
      <c r="L34" s="7" t="n"/>
    </row>
    <row r="35">
      <c r="A35" s="3" t="inlineStr">
        <is>
          <t>T34</t>
        </is>
      </c>
      <c r="B35" s="3" t="inlineStr">
        <is>
          <t>Триаж</t>
        </is>
      </c>
      <c r="C35" s="4" t="inlineStr">
        <is>
          <t>strapi/strapi#27317</t>
        </is>
      </c>
      <c r="D35" s="3" t="inlineStr">
        <is>
          <t>strapi</t>
        </is>
      </c>
      <c r="E35" s="3" t="inlineStr">
        <is>
          <t>вне области: ui</t>
        </is>
      </c>
      <c r="F35" s="3" t="inlineStr">
        <is>
          <t>Скачок высоты компонента в интерфейсе</t>
        </is>
      </c>
      <c r="G35" s="3" t="inlineStr">
        <is>
          <t>the component briefly expands to an excessive height and then snaps back</t>
        </is>
      </c>
      <c r="H35" s="5" t="inlineStr">
        <is>
          <t>совпадает</t>
        </is>
      </c>
      <c r="I35" s="3" t="inlineStr">
        <is>
          <t>Вне области (ui) верно</t>
        </is>
      </c>
      <c r="J35" s="3" t="inlineStr"/>
      <c r="K35" s="6" t="n"/>
      <c r="L35" s="7" t="n"/>
    </row>
    <row r="36">
      <c r="A36" s="3" t="inlineStr">
        <is>
          <t>T35</t>
        </is>
      </c>
      <c r="B36" s="3" t="inlineStr">
        <is>
          <t>Триаж</t>
        </is>
      </c>
      <c r="C36" s="4" t="inlineStr">
        <is>
          <t>directus/directus#26956</t>
        </is>
      </c>
      <c r="D36" s="3" t="inlineStr">
        <is>
          <t>directus</t>
        </is>
      </c>
      <c r="E36" s="3" t="inlineStr">
        <is>
          <t>вне области: build</t>
        </is>
      </c>
      <c r="F36" s="3" t="inlineStr">
        <is>
          <t>Типы TypeScript в SDK не дают операторы фильтра для date/time — проблема типизации клиента</t>
        </is>
      </c>
      <c r="G36" s="3" t="inlineStr">
        <is>
          <t>TypeScript will not suggest these operators (they resolve to never)</t>
        </is>
      </c>
      <c r="H36" s="5" t="inlineStr">
        <is>
          <t>совпадает</t>
        </is>
      </c>
      <c r="I36" s="3" t="inlineStr">
        <is>
          <t>Вне области верно: типы SDK</t>
        </is>
      </c>
      <c r="J36" s="3" t="inlineStr"/>
      <c r="K36" s="6" t="n"/>
      <c r="L36" s="7" t="n"/>
    </row>
    <row r="37">
      <c r="A37" s="3" t="inlineStr">
        <is>
          <t>T36</t>
        </is>
      </c>
      <c r="B37" s="3" t="inlineStr">
        <is>
          <t>Триаж</t>
        </is>
      </c>
      <c r="C37" s="4" t="inlineStr">
        <is>
          <t>nestjs/nest#16785</t>
        </is>
      </c>
      <c r="D37" s="3" t="inlineStr">
        <is>
          <t>nestjs-nest</t>
        </is>
      </c>
      <c r="E37" s="3" t="inlineStr">
        <is>
          <t>вне области: build</t>
        </is>
      </c>
      <c r="F37" s="3" t="inlineStr">
        <is>
          <t>Каталог вывода сборки SWC</t>
        </is>
      </c>
      <c r="G37" s="3" t="inlineStr">
        <is>
          <t>SWC builder emits output to dist/src/ instead of dist/</t>
        </is>
      </c>
      <c r="H37" s="5" t="inlineStr">
        <is>
          <t>совпадает</t>
        </is>
      </c>
      <c r="I37" s="3" t="inlineStr">
        <is>
          <t>Вне области (build) верно</t>
        </is>
      </c>
      <c r="J37" s="3" t="inlineStr"/>
      <c r="K37" s="6" t="n"/>
      <c r="L37" s="7" t="n"/>
    </row>
    <row r="38">
      <c r="A38" s="3" t="inlineStr">
        <is>
          <t>T37</t>
        </is>
      </c>
      <c r="B38" s="3" t="inlineStr">
        <is>
          <t>Триаж</t>
        </is>
      </c>
      <c r="C38" s="4" t="inlineStr">
        <is>
          <t>GHSA-c48m-32m9-vx93</t>
        </is>
      </c>
      <c r="D38" s="3" t="inlineStr">
        <is>
          <t>ghsa-npm</t>
        </is>
      </c>
      <c r="E38" s="3" t="inlineStr">
        <is>
          <t>вне области: other</t>
        </is>
      </c>
      <c r="F38" s="3" t="inlineStr">
        <is>
          <t>vm2: обход allowlist внешних модулей через совпадающее имя — изоляция песочницы.</t>
        </is>
      </c>
      <c r="G38" s="3" t="inlineStr">
        <is>
          <t>vm2… allowlist pre-check… substring match on the original package name</t>
        </is>
      </c>
      <c r="H38" s="5" t="inlineStr">
        <is>
          <t>совпадает</t>
        </is>
      </c>
      <c r="I38" s="3" t="inlineStr">
        <is>
          <t>Вне области верно: песочница</t>
        </is>
      </c>
      <c r="J38" s="3" t="inlineStr"/>
      <c r="K38" s="6" t="n"/>
      <c r="L38" s="7" t="n"/>
    </row>
    <row r="39">
      <c r="A39" s="3" t="inlineStr">
        <is>
          <t>T38</t>
        </is>
      </c>
      <c r="B39" s="3" t="inlineStr">
        <is>
          <t>Триаж</t>
        </is>
      </c>
      <c r="C39" s="4" t="inlineStr">
        <is>
          <t>expressjs/express#6275</t>
        </is>
      </c>
      <c r="D39" s="3" t="inlineStr">
        <is>
          <t>express</t>
        </is>
      </c>
      <c r="E39" s="3" t="inlineStr">
        <is>
          <t>вне области: other</t>
        </is>
      </c>
      <c r="F39" s="3" t="inlineStr">
        <is>
          <t>Браузер дополнительно запрашивает favicon — не баг</t>
        </is>
      </c>
      <c r="G39" s="3" t="inlineStr">
        <is>
          <t>the middleware ran twice… if you were to connect to this via another device on your LAN, this problem disappears</t>
        </is>
      </c>
      <c r="H39" s="5" t="inlineStr">
        <is>
          <t>совпадает</t>
        </is>
      </c>
      <c r="I39" s="3" t="inlineStr">
        <is>
          <t>Вне области верно: второй запрос браузера, не баг</t>
        </is>
      </c>
      <c r="J39" s="3" t="inlineStr"/>
      <c r="K39" s="6" t="n"/>
      <c r="L39" s="7" t="n"/>
    </row>
    <row r="40">
      <c r="A40" s="3" t="inlineStr">
        <is>
          <t>T39</t>
        </is>
      </c>
      <c r="B40" s="3" t="inlineStr">
        <is>
          <t>Триаж</t>
        </is>
      </c>
      <c r="C40" s="4" t="inlineStr">
        <is>
          <t>keycloak/keycloak#51131</t>
        </is>
      </c>
      <c r="D40" s="3" t="inlineStr">
        <is>
          <t>keycloak</t>
        </is>
      </c>
      <c r="E40" s="3" t="inlineStr">
        <is>
          <t>вне области: other</t>
        </is>
      </c>
      <c r="F40" s="3" t="inlineStr">
        <is>
          <t>Ложное предупреждение в логе при нагрузке — внутренняя логика закрытия сессий</t>
        </is>
      </c>
      <c r="G40" s="3" t="inlineStr">
        <is>
          <t>spuriously logs the warning… A minimal reproducer is currently pending</t>
        </is>
      </c>
      <c r="H40" s="5" t="inlineStr">
        <is>
          <t>совпадает</t>
        </is>
      </c>
      <c r="I40" s="3" t="inlineStr">
        <is>
          <t>Вне области верно: предупреждение в логе, мало данных</t>
        </is>
      </c>
      <c r="J40" s="3" t="inlineStr"/>
      <c r="K40" s="6" t="n"/>
      <c r="L40" s="7" t="n"/>
    </row>
    <row r="41">
      <c r="A41" s="3" t="inlineStr">
        <is>
          <t>T40</t>
        </is>
      </c>
      <c r="B41" s="3" t="inlineStr">
        <is>
          <t>Триаж</t>
        </is>
      </c>
      <c r="C41" s="4" t="inlineStr">
        <is>
          <t>nestjs/nest#9041</t>
        </is>
      </c>
      <c r="D41" s="3" t="inlineStr">
        <is>
          <t>nestjs-nest</t>
        </is>
      </c>
      <c r="E41" s="3" t="inlineStr">
        <is>
          <t>вне области: other</t>
        </is>
      </c>
      <c r="F41" s="3" t="inlineStr">
        <is>
          <t>Поведение логгера фреймворка</t>
        </is>
      </c>
      <c r="G41" s="3" t="inlineStr">
        <is>
          <t>custom logger continuously logs that same message… until there is a stack trace</t>
        </is>
      </c>
      <c r="H41" s="5" t="inlineStr">
        <is>
          <t>совпадает</t>
        </is>
      </c>
      <c r="I41" s="3" t="inlineStr">
        <is>
          <t>Вне области верно: логгер</t>
        </is>
      </c>
      <c r="J41" s="3" t="inlineStr">
        <is>
          <t>выборочно</t>
        </is>
      </c>
      <c r="K41" s="6" t="n"/>
      <c r="L41" s="7" t="n"/>
    </row>
    <row r="42">
      <c r="A42" s="3" t="inlineStr">
        <is>
          <t>T41</t>
        </is>
      </c>
      <c r="B42" s="3" t="inlineStr">
        <is>
          <t>Триаж</t>
        </is>
      </c>
      <c r="C42" s="4" t="inlineStr">
        <is>
          <t>nestjs/nest#14601</t>
        </is>
      </c>
      <c r="D42" s="3" t="inlineStr">
        <is>
          <t>nestjs-nest</t>
        </is>
      </c>
      <c r="E42" s="3" t="inlineStr">
        <is>
          <t>вне области: build</t>
        </is>
      </c>
      <c r="F42" s="3" t="inlineStr">
        <is>
          <t>Ошибка запуска после обновления зависимостей (несовместимость адаптера и express)</t>
        </is>
      </c>
      <c r="G42" s="3" t="inlineStr">
        <is>
          <t>Error: 'app.router' is deprecated! … at NestApplication.listen</t>
        </is>
      </c>
      <c r="H42" s="5" t="inlineStr">
        <is>
          <t>совпадает</t>
        </is>
      </c>
      <c r="I42" s="3" t="inlineStr">
        <is>
          <t>Вне области верно: ошибка запуска после обновления</t>
        </is>
      </c>
      <c r="J42" s="3" t="inlineStr"/>
      <c r="K42" s="6" t="n"/>
      <c r="L42" s="7" t="n"/>
    </row>
    <row r="43">
      <c r="A43" s="3" t="inlineStr">
        <is>
          <t>T42</t>
        </is>
      </c>
      <c r="B43" s="3" t="inlineStr">
        <is>
          <t>Триаж</t>
        </is>
      </c>
      <c r="C43" s="4" t="inlineStr">
        <is>
          <t>GHSA-r273-hxvj-fxhp</t>
        </is>
      </c>
      <c r="D43" s="3" t="inlineStr">
        <is>
          <t>ghsa-npm</t>
        </is>
      </c>
      <c r="E43" s="3" t="inlineStr">
        <is>
          <t>вне области: other</t>
        </is>
      </c>
      <c r="F43" s="3" t="inlineStr">
        <is>
          <t>vm2: util.getCallSites раскрывает стек хоста в песочнице.</t>
        </is>
      </c>
      <c r="G43" s="3" t="inlineStr">
        <is>
          <t>NodeVM exposes the host util module to the sandbox… getCallSites() returns the host process's full call stack</t>
        </is>
      </c>
      <c r="H43" s="5" t="inlineStr">
        <is>
          <t>совпадает</t>
        </is>
      </c>
      <c r="I43" s="3" t="inlineStr">
        <is>
          <t>Вне области верно: песочница</t>
        </is>
      </c>
      <c r="J43" s="3" t="inlineStr"/>
      <c r="K43" s="6" t="n"/>
      <c r="L43" s="7" t="n"/>
    </row>
    <row r="44">
      <c r="A44" s="3" t="inlineStr">
        <is>
          <t>T43</t>
        </is>
      </c>
      <c r="B44" s="3" t="inlineStr">
        <is>
          <t>Триаж</t>
        </is>
      </c>
      <c r="C44" s="4" t="inlineStr">
        <is>
          <t>directus/directus#27955</t>
        </is>
      </c>
      <c r="D44" s="3" t="inlineStr">
        <is>
          <t>directus</t>
        </is>
      </c>
      <c r="E44" s="3" t="inlineStr">
        <is>
          <t>вне области: build</t>
        </is>
      </c>
      <c r="F44" s="3" t="inlineStr">
        <is>
          <t>Неверная nullability в типах</t>
        </is>
      </c>
      <c r="G44" s="3" t="inlineStr">
        <is>
          <t>fields… are typed non-null against nullable DB columns… compile errors</t>
        </is>
      </c>
      <c r="H44" s="5" t="inlineStr">
        <is>
          <t>совпадает</t>
        </is>
      </c>
      <c r="I44" s="3" t="inlineStr">
        <is>
          <t>Вне области верно: типы</t>
        </is>
      </c>
      <c r="J44" s="3" t="inlineStr"/>
      <c r="K44" s="6" t="n"/>
      <c r="L44" s="7" t="n"/>
    </row>
    <row r="45">
      <c r="A45" s="3" t="inlineStr">
        <is>
          <t>T44</t>
        </is>
      </c>
      <c r="B45" s="3" t="inlineStr">
        <is>
          <t>Триаж</t>
        </is>
      </c>
      <c r="C45" s="4" t="inlineStr">
        <is>
          <t>GHSA-7q3f-wx44-378m</t>
        </is>
      </c>
      <c r="D45" s="3" t="inlineStr">
        <is>
          <t>ghsa-npm</t>
        </is>
      </c>
      <c r="E45" s="3" t="inlineStr">
        <is>
          <t>вне области: other</t>
        </is>
      </c>
      <c r="F45" s="3" t="inlineStr">
        <is>
          <t>vm2: префиксное сравнение путей модулей — изоляция песочницы.</t>
        </is>
      </c>
      <c r="G45" s="3" t="inlineStr">
        <is>
          <t>isPathAllowedForModule… raw string prefix test</t>
        </is>
      </c>
      <c r="H45" s="5" t="inlineStr">
        <is>
          <t>совпадает</t>
        </is>
      </c>
      <c r="I45" s="3" t="inlineStr">
        <is>
          <t>Вне области верно: песочница</t>
        </is>
      </c>
      <c r="J45" s="3" t="inlineStr"/>
      <c r="K45" s="6" t="n"/>
      <c r="L45" s="7" t="n"/>
    </row>
    <row r="46">
      <c r="A46" s="3" t="inlineStr">
        <is>
          <t>T45</t>
        </is>
      </c>
      <c r="B46" s="3" t="inlineStr">
        <is>
          <t>Триаж</t>
        </is>
      </c>
      <c r="C46" s="4" t="inlineStr">
        <is>
          <t>expressjs/express#4899</t>
        </is>
      </c>
      <c r="D46" s="3" t="inlineStr">
        <is>
          <t>express</t>
        </is>
      </c>
      <c r="E46" s="3" t="inlineStr">
        <is>
          <t>вне области: other</t>
        </is>
      </c>
      <c r="F46" s="3" t="inlineStr">
        <is>
          <t>Лимит синхронного стека роутера ломает маршрутизацию — внутренняя логика фреймворка</t>
        </is>
      </c>
      <c r="G46" s="3" t="inlineStr">
        <is>
          <t>some routes are not working anymore due to… This 100 limitation is not in the change log… Can this value be configurable?</t>
        </is>
      </c>
      <c r="H46" s="8" t="inlineStr">
        <is>
          <t>сомнение</t>
        </is>
      </c>
      <c r="I46" s="3" t="inlineStr">
        <is>
          <t>Маршруты перестают отвечать — видно через API; но данных о проявлении мало, это скорее запрос на настройку. Спорно</t>
        </is>
      </c>
      <c r="J46" s="9" t="inlineStr">
        <is>
          <t>обязательно</t>
        </is>
      </c>
      <c r="K46" s="6" t="n"/>
      <c r="L46" s="7" t="n"/>
    </row>
    <row r="47">
      <c r="A47" s="3" t="inlineStr">
        <is>
          <t>T46</t>
        </is>
      </c>
      <c r="B47" s="3" t="inlineStr">
        <is>
          <t>Триаж</t>
        </is>
      </c>
      <c r="C47" s="4" t="inlineStr">
        <is>
          <t>nestjs/nest#2261</t>
        </is>
      </c>
      <c r="D47" s="3" t="inlineStr">
        <is>
          <t>nestjs-nest</t>
        </is>
      </c>
      <c r="E47" s="3" t="inlineStr">
        <is>
          <t>вне области: other</t>
        </is>
      </c>
      <c r="F47" s="3" t="inlineStr">
        <is>
          <t>req.url в middleware показывает '/' — внутреннее поведение маршрутизации, на ответ не влияет.</t>
        </is>
      </c>
      <c r="G47" s="3" t="inlineStr">
        <is>
          <t>In Middleware, the req.url is always / … in Controller, the req.url is correct</t>
        </is>
      </c>
      <c r="H47" s="5" t="inlineStr">
        <is>
          <t>совпадает</t>
        </is>
      </c>
      <c r="I47" s="3" t="inlineStr">
        <is>
          <t>Вне области верно: внутреннее поле запроса</t>
        </is>
      </c>
      <c r="J47" s="3" t="inlineStr"/>
      <c r="K47" s="6" t="n"/>
      <c r="L47" s="7" t="n"/>
    </row>
    <row r="48">
      <c r="A48" s="3" t="inlineStr">
        <is>
          <t>T47</t>
        </is>
      </c>
      <c r="B48" s="3" t="inlineStr">
        <is>
          <t>Триаж</t>
        </is>
      </c>
      <c r="C48" s="4" t="inlineStr">
        <is>
          <t>expressjs/express#5999</t>
        </is>
      </c>
      <c r="D48" s="3" t="inlineStr">
        <is>
          <t>express</t>
        </is>
      </c>
      <c r="E48" s="3" t="inlineStr">
        <is>
          <t>вне области: other</t>
        </is>
      </c>
      <c r="F48" s="3" t="inlineStr">
        <is>
          <t>Нестроковый путь маршрута падает в новой версии библиотеки — ошибка запуска</t>
        </is>
      </c>
      <c r="G48" s="3" t="inlineStr">
        <is>
          <t>In path-to-regexp v0.1.10, encountering an object can cause the program to crash</t>
        </is>
      </c>
      <c r="H48" s="5" t="inlineStr">
        <is>
          <t>совпадает</t>
        </is>
      </c>
      <c r="I48" s="3" t="inlineStr">
        <is>
          <t>Вне области верно: ошибка использования при запуске</t>
        </is>
      </c>
      <c r="J48" s="3" t="inlineStr"/>
      <c r="K48" s="6" t="n"/>
      <c r="L48" s="7" t="n"/>
    </row>
    <row r="49">
      <c r="A49" s="3" t="inlineStr">
        <is>
          <t>T48</t>
        </is>
      </c>
      <c r="B49" s="3" t="inlineStr">
        <is>
          <t>Триаж</t>
        </is>
      </c>
      <c r="C49" s="4" t="inlineStr">
        <is>
          <t>directus/directus#27969</t>
        </is>
      </c>
      <c r="D49" s="3" t="inlineStr">
        <is>
          <t>directus</t>
        </is>
      </c>
      <c r="E49" s="3" t="inlineStr">
        <is>
          <t>вне области: build</t>
        </is>
      </c>
      <c r="F49" s="3" t="inlineStr">
        <is>
          <t>Несоответствие nullability в типах SDK</t>
        </is>
      </c>
      <c r="G49" s="3" t="inlineStr">
        <is>
          <t>fields in @directus/sdk/@directus/types don't match actual database/runtime nullability</t>
        </is>
      </c>
      <c r="H49" s="5" t="inlineStr">
        <is>
          <t>совпадает</t>
        </is>
      </c>
      <c r="I49" s="3" t="inlineStr">
        <is>
          <t>Вне области верно: типы SDK</t>
        </is>
      </c>
      <c r="J49" s="3" t="inlineStr"/>
      <c r="K49" s="6" t="n"/>
      <c r="L49" s="7" t="n"/>
    </row>
    <row r="50">
      <c r="A50" s="3" t="inlineStr">
        <is>
          <t>T49</t>
        </is>
      </c>
      <c r="B50" s="3" t="inlineStr">
        <is>
          <t>Триаж</t>
        </is>
      </c>
      <c r="C50" s="4" t="inlineStr">
        <is>
          <t>GHSA-mcm9-63f2-9j32</t>
        </is>
      </c>
      <c r="D50" s="3" t="inlineStr">
        <is>
          <t>ghsa-npm</t>
        </is>
      </c>
      <c r="E50" s="3" t="inlineStr">
        <is>
          <t>вне области: other</t>
        </is>
      </c>
      <c r="F50" s="3" t="inlineStr">
        <is>
          <t>devalue: квадратичное раздувание uneval в очень узких условиях — внутренняя сериализация.</t>
        </is>
      </c>
      <c r="G50" s="3" t="inlineStr">
        <is>
          <t>Under very constrained circumstances… a very large serialized string</t>
        </is>
      </c>
      <c r="H50" s="5" t="inlineStr">
        <is>
          <t>совпадает</t>
        </is>
      </c>
      <c r="I50" s="3" t="inlineStr">
        <is>
          <t>Вне области допустимо</t>
        </is>
      </c>
      <c r="J50" s="3" t="inlineStr"/>
      <c r="K50" s="6" t="n"/>
      <c r="L50" s="7" t="n"/>
    </row>
    <row r="51">
      <c r="A51" s="3" t="inlineStr">
        <is>
          <t>T50</t>
        </is>
      </c>
      <c r="B51" s="3" t="inlineStr">
        <is>
          <t>Триаж</t>
        </is>
      </c>
      <c r="C51" s="4" t="inlineStr">
        <is>
          <t>nestjs/nest#384</t>
        </is>
      </c>
      <c r="D51" s="3" t="inlineStr">
        <is>
          <t>nestjs-nest</t>
        </is>
      </c>
      <c r="E51" s="3" t="inlineStr">
        <is>
          <t>вне области: docs</t>
        </is>
      </c>
      <c r="F51" s="3" t="inlineStr">
        <is>
          <t>Вопрос по настройке wss в документации — не дефект поведения.</t>
        </is>
      </c>
      <c r="G51" s="3" t="inlineStr">
        <is>
          <t>[x] Documentation issue or request… couldn't find any HTTPS examples</t>
        </is>
      </c>
      <c r="H51" s="5" t="inlineStr">
        <is>
          <t>совпадает</t>
        </is>
      </c>
      <c r="I51" s="3" t="inlineStr">
        <is>
          <t>Вне области (docs) верно</t>
        </is>
      </c>
      <c r="J51" s="3" t="inlineStr"/>
      <c r="K51" s="6" t="n"/>
      <c r="L51" s="7" t="n"/>
    </row>
    <row r="52">
      <c r="A52" s="3" t="inlineStr">
        <is>
          <t>M1</t>
        </is>
      </c>
      <c r="B52" s="3" t="inlineStr">
        <is>
          <t>Сопоставление</t>
        </is>
      </c>
      <c r="C52" s="4" t="inlineStr">
        <is>
          <t>nestjs/nest#13360</t>
        </is>
      </c>
      <c r="D52" s="3" t="inlineStr">
        <is>
          <t>nestjs-nest</t>
        </is>
      </c>
      <c r="E52" s="3" t="inlineStr">
        <is>
          <t>API</t>
        </is>
      </c>
      <c r="F52" s="3" t="inlineStr">
        <is>
          <t>extends → GRPC-STREAM-TERMINATION
Добавить вариант: исключение в обработчике стрима — клиент получает ошибку, сервис после этого доступен
Паттерн: Исключение в обработчике серверного стрима возвращает клиенту статус ошибки, сервис остаётся доступен</t>
        </is>
      </c>
      <c r="G52" s="3" t="inlineStr">
        <is>
          <t>gRPC server streaming endpoints that throw errors… unhandledRejection crashing the application</t>
        </is>
      </c>
      <c r="H52" s="5" t="inlineStr">
        <is>
          <t>совпадает</t>
        </is>
      </c>
      <c r="I52" s="3" t="inlineStr">
        <is>
          <t>GRPC-STREAM-TERMINATION подходит</t>
        </is>
      </c>
      <c r="J52" s="3" t="inlineStr"/>
      <c r="K52" s="6" t="n"/>
      <c r="L52" s="7" t="n"/>
    </row>
    <row r="53">
      <c r="A53" s="3" t="inlineStr">
        <is>
          <t>M2</t>
        </is>
      </c>
      <c r="B53" s="3" t="inlineStr">
        <is>
          <t>Сопоставление</t>
        </is>
      </c>
      <c r="C53" s="4" t="inlineStr">
        <is>
          <t>keycloak/keycloak#52378</t>
        </is>
      </c>
      <c r="D53" s="3" t="inlineStr">
        <is>
          <t>keycloak</t>
        </is>
      </c>
      <c r="E53" s="3" t="inlineStr">
        <is>
          <t>API</t>
        </is>
      </c>
      <c r="F53" s="3" t="inlineStr">
        <is>
          <t>covered → COMPAT-IMPLEMENTATION-MATCHES-CONTRACT
Строгая валидация ответа по опубликованной схеме ловит расхождение
Паттерн: Схема ответа в опубликованном контракте совпадает с фактическим ответом</t>
        </is>
      </c>
      <c r="G53" s="3" t="inlineStr">
        <is>
          <t>published Admin REST OpenAPI specification declares the response… as an array of UserRepresentation, although the endpoints return groups</t>
        </is>
      </c>
      <c r="H53" s="5" t="inlineStr">
        <is>
          <t>совпадает</t>
        </is>
      </c>
      <c r="I53" s="3" t="inlineStr">
        <is>
          <t>COMPAT-IMPLEMENTATION-MATCHES-CONTRACT — ровно это</t>
        </is>
      </c>
      <c r="J53" s="3" t="inlineStr">
        <is>
          <t>выборочно</t>
        </is>
      </c>
      <c r="K53" s="6" t="n"/>
      <c r="L53" s="7" t="n"/>
    </row>
    <row r="54">
      <c r="A54" s="3" t="inlineStr">
        <is>
          <t>M3</t>
        </is>
      </c>
      <c r="B54" s="3" t="inlineStr">
        <is>
          <t>Сопоставление</t>
        </is>
      </c>
      <c r="C54" s="4" t="inlineStr">
        <is>
          <t>keycloak/keycloak#52568</t>
        </is>
      </c>
      <c r="D54" s="3" t="inlineStr">
        <is>
          <t>keycloak</t>
        </is>
      </c>
      <c r="E54" s="3" t="inlineStr">
        <is>
          <t>API</t>
        </is>
      </c>
      <c r="F54" s="3" t="inlineStr">
        <is>
          <t>extends → OBS-AUDIT-TRAIL
Добавить отказы на всех ветках проверок выдачи токена, а не только успешные действия
Паттерн: Отказы на дополнительных проверках выдачи токена фиксируются событием ошибки</t>
        </is>
      </c>
      <c r="G54" s="3" t="inlineStr">
        <is>
          <t>When a TokenInterceptorException error is thrown, no event is logged</t>
        </is>
      </c>
      <c r="H54" s="5" t="inlineStr">
        <is>
          <t>совпадает</t>
        </is>
      </c>
      <c r="I54" s="3" t="inlineStr">
        <is>
          <t>OBS-AUDIT-TRAIL подходит</t>
        </is>
      </c>
      <c r="J54" s="3" t="inlineStr"/>
      <c r="K54" s="6" t="n"/>
      <c r="L54" s="7" t="n"/>
    </row>
    <row r="55">
      <c r="A55" s="3" t="inlineStr">
        <is>
          <t>M4</t>
        </is>
      </c>
      <c r="B55" s="3" t="inlineStr">
        <is>
          <t>Сопоставление</t>
        </is>
      </c>
      <c r="C55" s="4" t="inlineStr">
        <is>
          <t>nestjs/nest#288</t>
        </is>
      </c>
      <c r="D55" s="3" t="inlineStr">
        <is>
          <t>nestjs-nest</t>
        </is>
      </c>
      <c r="E55" s="3" t="inlineStr">
        <is>
          <t>API</t>
        </is>
      </c>
      <c r="F55" s="3" t="inlineStr">
        <is>
          <t>covered → RESIL-DEPENDENCY-DOWN
Ровно недоступность зависимости
Паттерн: Недоступность нижестоящего сервиса даёт контролируемую ошибку</t>
        </is>
      </c>
      <c r="G55" s="3" t="inlineStr">
        <is>
          <t>I get ECONNREFUSED… when the service is down… I cannot handle the error</t>
        </is>
      </c>
      <c r="H55" s="5" t="inlineStr">
        <is>
          <t>совпадает</t>
        </is>
      </c>
      <c r="I55" s="3" t="inlineStr">
        <is>
          <t>RESIL-DEPENDENCY-DOWN подходит</t>
        </is>
      </c>
      <c r="J55" s="3" t="inlineStr">
        <is>
          <t>выборочно</t>
        </is>
      </c>
      <c r="K55" s="6" t="n"/>
      <c r="L55" s="7" t="n"/>
    </row>
    <row r="56">
      <c r="A56" s="3" t="inlineStr">
        <is>
          <t>M5</t>
        </is>
      </c>
      <c r="B56" s="3" t="inlineStr">
        <is>
          <t>Сопоставление</t>
        </is>
      </c>
      <c r="C56" s="4" t="inlineStr">
        <is>
          <t>GHSA-v6q3-xqxm-6f5v</t>
        </is>
      </c>
      <c r="D56" s="3" t="inlineStr">
        <is>
          <t>ghsa-npm</t>
        </is>
      </c>
      <c r="E56" s="3" t="inlineStr">
        <is>
          <t>API</t>
        </is>
      </c>
      <c r="F56" s="3" t="inlineStr">
        <is>
          <t>extends → INJ-FILTER-EXPRESSION
Добавить фильтр по скрытым полям как оракул подбора секрета (без инъекции синтаксиса)
Паттерн: Фильтр по скрытому секретному полю не позволяет подобрать его значение</t>
        </is>
      </c>
      <c r="G56" s="3" t="inlineStr">
        <is>
          <t>were able to discover the secret token of pending invites (CWE-943)</t>
        </is>
      </c>
      <c r="H56" s="8" t="inlineStr">
        <is>
          <t>сомнение</t>
        </is>
      </c>
      <c r="I56" s="3" t="inlineStr">
        <is>
          <t>Привязка к INJ-FILTER-EXPRESSION держится на выведенном способе (фильтр как оракул) — см. T15</t>
        </is>
      </c>
      <c r="J56" s="9" t="inlineStr">
        <is>
          <t>обязательно</t>
        </is>
      </c>
      <c r="K56" s="6" t="n"/>
      <c r="L56" s="7" t="n"/>
    </row>
    <row r="57">
      <c r="A57" s="3" t="inlineStr">
        <is>
          <t>M6</t>
        </is>
      </c>
      <c r="B57" s="3" t="inlineStr">
        <is>
          <t>Сопоставление</t>
        </is>
      </c>
      <c r="C57" s="4" t="inlineStr">
        <is>
          <t>GHSA-53vv-xm9f-mm82</t>
        </is>
      </c>
      <c r="D57" s="3" t="inlineStr">
        <is>
          <t>ghsa-npm</t>
        </is>
      </c>
      <c r="E57" s="3" t="inlineStr">
        <is>
          <t>API</t>
        </is>
      </c>
      <c r="F57" s="3" t="inlineStr">
        <is>
          <t>extends → REST-SORT-INVALID-FIELD
Добавить сортировку по существующему, но скрытому полю как оракул, включая алиасы, суффиксы и составные выражения
Паттерн: Сортировка и фильтр по скрытым чувствительным полям отклоняются, в том числе через алиасы и составные выражения</t>
        </is>
      </c>
      <c r="G57" s="3" t="inlineStr">
        <is>
          <t>Any staff-level user was able to determine the relative ordering of other staff users' hashed passwords</t>
        </is>
      </c>
      <c r="H57" s="8" t="inlineStr">
        <is>
          <t>сомнение</t>
        </is>
      </c>
      <c r="I57" s="3" t="inlineStr">
        <is>
          <t>Сортировка как оракул — правдоподобно (CWE-203/943), запись подходит; «алиасы и составные выражения» в варианте додуманы</t>
        </is>
      </c>
      <c r="J57" s="9" t="inlineStr">
        <is>
          <t>обязательно</t>
        </is>
      </c>
      <c r="K57" s="6" t="n"/>
      <c r="L57" s="7" t="n"/>
    </row>
    <row r="58">
      <c r="A58" s="3" t="inlineStr">
        <is>
          <t>M7</t>
        </is>
      </c>
      <c r="B58" s="3" t="inlineStr">
        <is>
          <t>Сопоставление</t>
        </is>
      </c>
      <c r="C58" s="4" t="inlineStr">
        <is>
          <t>nestjs/nest#13093</t>
        </is>
      </c>
      <c r="D58" s="3" t="inlineStr">
        <is>
          <t>nestjs-nest</t>
        </is>
      </c>
      <c r="E58" s="3" t="inlineStr">
        <is>
          <t>API</t>
        </is>
      </c>
      <c r="F58" s="3" t="inlineStr">
        <is>
          <t>extends → REST-SECURITY-HEADERS
Проверять заголовки и другие следы middleware во всех версиях API (вместе с вариантом про исключения из глобального префикса)
Паттерн: Глобальные middleware срабатывают на всех версиях API</t>
        </is>
      </c>
      <c r="G58" s="3" t="inlineStr">
        <is>
          <t>As soon as there is more than one item in version array, the middleware does not get called</t>
        </is>
      </c>
      <c r="H58" s="10" t="inlineStr">
        <is>
          <t>не совпадает</t>
        </is>
      </c>
      <c r="I58" s="3" t="inlineStr">
        <is>
          <t>REST-SECURITY-HEADERS — про защитные заголовки, а баг — middleware вообще не вызывается на нескольких версиях; ближе к версионированию (REST-API-VERSION-COMPATIBILITY) или к отдельной записи</t>
        </is>
      </c>
      <c r="J58" s="9" t="inlineStr">
        <is>
          <t>обязательно</t>
        </is>
      </c>
      <c r="K58" s="6" t="n"/>
      <c r="L58" s="7" t="n"/>
    </row>
    <row r="59">
      <c r="A59" s="3" t="inlineStr">
        <is>
          <t>M8</t>
        </is>
      </c>
      <c r="B59" s="3" t="inlineStr">
        <is>
          <t>Сопоставление</t>
        </is>
      </c>
      <c r="C59" s="4" t="inlineStr">
        <is>
          <t>GHSA-f67j-2jqw-jpq7</t>
        </is>
      </c>
      <c r="D59" s="3" t="inlineStr">
        <is>
          <t>ghsa-npm</t>
        </is>
      </c>
      <c r="E59" s="3" t="inlineStr">
        <is>
          <t>API</t>
        </is>
      </c>
      <c r="F59" s="3" t="inlineStr">
        <is>
          <t>extends → INJ-REDOS
Добавить вариант: незавершённая HTML-разметка в контенте с серверным разбором — зависание парсера, не regex
Паттерн: Незавершённая HTML-разметка в пользовательском контенте не вешает серверный рендер</t>
        </is>
      </c>
      <c r="G59" s="3" t="inlineStr">
        <is>
          <t>incomplete DOCTYPE… the HTML parser enters an infinite synchronous loop, pegging CPU utilization at 100%</t>
        </is>
      </c>
      <c r="H59" s="8" t="inlineStr">
        <is>
          <t>сомнение</t>
        </is>
      </c>
      <c r="I59" s="3" t="inlineStr">
        <is>
          <t>INJ-REDOS — про regex; бесконечный цикл парсера точнее в HARD-EXPENSIVE-OPERATION-LIMITS</t>
        </is>
      </c>
      <c r="J59" s="9" t="inlineStr">
        <is>
          <t>обязательно</t>
        </is>
      </c>
      <c r="K59" s="6" t="n"/>
      <c r="L59" s="7" t="n"/>
    </row>
    <row r="60">
      <c r="A60" s="3" t="inlineStr">
        <is>
          <t>M9</t>
        </is>
      </c>
      <c r="B60" s="3" t="inlineStr">
        <is>
          <t>Сопоставление</t>
        </is>
      </c>
      <c r="C60" s="4" t="inlineStr">
        <is>
          <t>GHSA-798p-78g2-v556</t>
        </is>
      </c>
      <c r="D60" s="3" t="inlineStr">
        <is>
          <t>ghsa-npm</t>
        </is>
      </c>
      <c r="E60" s="3" t="inlineStr">
        <is>
          <t>API</t>
        </is>
      </c>
      <c r="F60" s="3" t="inlineStr">
        <is>
          <t>extends → INJ-SSRF-PARAMETERS
Добавить вариант: доменное имя, резолвящееся во внутренний/метаданных адрес (wildcard-DNS), — не только IP-литералы
Паттерн: Защита от SSRF учитывает адрес, в который резолвится имя хоста</t>
        </is>
      </c>
      <c r="G60" s="3" t="inlineStr">
        <is>
          <t>validates only the hostname string and never resolves DNS</t>
        </is>
      </c>
      <c r="H60" s="5" t="inlineStr">
        <is>
          <t>совпадает</t>
        </is>
      </c>
      <c r="I60" s="3" t="inlineStr">
        <is>
          <t>INJ-SSRF-PARAMETERS подходит</t>
        </is>
      </c>
      <c r="J60" s="3" t="inlineStr"/>
      <c r="K60" s="6" t="n"/>
      <c r="L60" s="7" t="n"/>
    </row>
    <row r="61">
      <c r="A61" s="3" t="inlineStr">
        <is>
          <t>M10</t>
        </is>
      </c>
      <c r="B61" s="3" t="inlineStr">
        <is>
          <t>Сопоставление</t>
        </is>
      </c>
      <c r="C61" s="4" t="inlineStr">
        <is>
          <t>GHSA-2q76-m6w6-qgc6</t>
        </is>
      </c>
      <c r="D61" s="3" t="inlineStr">
        <is>
          <t>ghsa-npm</t>
        </is>
      </c>
      <c r="E61" s="3" t="inlineStr">
        <is>
          <t>API</t>
        </is>
      </c>
      <c r="F61" s="3" t="inlineStr">
        <is>
          <t>extends → AUTH-API-KEY-LIFECYCLE
Добавить вариант: создание/отзыв ключа для чужой учётной записи (владение ключом)
Паттерн: Управление API-ключами ограничено собственной учётной записью</t>
        </is>
      </c>
      <c r="G61" s="3" t="inlineStr">
        <is>
          <t>an authenticated user could manage MCP API keys outside their intended account</t>
        </is>
      </c>
      <c r="H61" s="5" t="inlineStr">
        <is>
          <t>совпадает</t>
        </is>
      </c>
      <c r="I61" s="3" t="inlineStr">
        <is>
          <t>AUTH-API-KEY-LIFECYCLE подходит</t>
        </is>
      </c>
      <c r="J61" s="3" t="inlineStr"/>
      <c r="K61" s="6" t="n"/>
      <c r="L61" s="7" t="n"/>
    </row>
    <row r="62">
      <c r="A62" s="3" t="inlineStr">
        <is>
          <t>M11</t>
        </is>
      </c>
      <c r="B62" s="3" t="inlineStr">
        <is>
          <t>Сопоставление</t>
        </is>
      </c>
      <c r="C62" s="4" t="inlineStr">
        <is>
          <t>keycloak/keycloak#49960</t>
        </is>
      </c>
      <c r="D62" s="3" t="inlineStr">
        <is>
          <t>keycloak</t>
        </is>
      </c>
      <c r="E62" s="3" t="inlineStr">
        <is>
          <t>API</t>
        </is>
      </c>
      <c r="F62" s="3" t="inlineStr">
        <is>
          <t>extends → AUTH-BRUTE-FORCE-PROTECTION
Вариант: refresh токена или SSO по cookie из существующей сессии не должен сбрасывать блокировку
Паттерн: Блокировка после перебора не снимается действиями существующей сессии</t>
        </is>
      </c>
      <c r="G62" s="3" t="inlineStr">
        <is>
          <t>a token refresh from an already-authenticated session on the same account resets the lockout state</t>
        </is>
      </c>
      <c r="H62" s="5" t="inlineStr">
        <is>
          <t>совпадает</t>
        </is>
      </c>
      <c r="I62" s="3" t="inlineStr">
        <is>
          <t>AUTH-BRUTE-FORCE-PROTECTION подходит</t>
        </is>
      </c>
      <c r="J62" s="3" t="inlineStr">
        <is>
          <t>выборочно</t>
        </is>
      </c>
      <c r="K62" s="6" t="n"/>
      <c r="L62" s="7" t="n"/>
    </row>
    <row r="63">
      <c r="A63" s="3" t="inlineStr">
        <is>
          <t>M12</t>
        </is>
      </c>
      <c r="B63" s="3" t="inlineStr">
        <is>
          <t>Сопоставление</t>
        </is>
      </c>
      <c r="C63" s="4" t="inlineStr">
        <is>
          <t>GHSA-prgh-xp8r-p3m5</t>
        </is>
      </c>
      <c r="D63" s="3" t="inlineStr">
        <is>
          <t>ghsa-npm</t>
        </is>
      </c>
      <c r="E63" s="3" t="inlineStr">
        <is>
          <t>API</t>
        </is>
      </c>
      <c r="F63" s="3" t="inlineStr">
        <is>
          <t>extends → INJ-REDOS
Добавить вариант: email-адреса и почтовые заголовки (комментарии RFC 5322, длинные строки без '@') — квадратичный парсер, а не только regex
Паттерн: Разбор email-адресов и почтовых заголовков не блокирует сервис на длинном значении</t>
        </is>
      </c>
      <c r="G63" s="3" t="inlineStr">
        <is>
          <t>addressparser parses one shape of address in O(n^2) time… blocks the event loop for roughly 7 seconds</t>
        </is>
      </c>
      <c r="H63" s="8" t="inlineStr">
        <is>
          <t>сомнение</t>
        </is>
      </c>
      <c r="I63" s="3" t="inlineStr">
        <is>
          <t>Квадратичный парсер, не regex: точнее HARD-EXPENSIVE-OPERATION-LIMITS, чем INJ-REDOS (как M8)</t>
        </is>
      </c>
      <c r="J63" s="9" t="inlineStr">
        <is>
          <t>обязательно</t>
        </is>
      </c>
      <c r="K63" s="6" t="n"/>
      <c r="L63" s="7" t="n"/>
    </row>
    <row r="64">
      <c r="A64" s="3" t="inlineStr">
        <is>
          <t>M13</t>
        </is>
      </c>
      <c r="B64" s="3" t="inlineStr">
        <is>
          <t>Сопоставление</t>
        </is>
      </c>
      <c r="C64" s="4" t="inlineStr">
        <is>
          <t>nestjs/nest#2557</t>
        </is>
      </c>
      <c r="D64" s="3" t="inlineStr">
        <is>
          <t>nestjs-nest</t>
        </is>
      </c>
      <c r="E64" s="3" t="inlineStr">
        <is>
          <t>API</t>
        </is>
      </c>
      <c r="F64" s="3" t="inlineStr">
        <is>
          <t>extends → BIZ-SIDE-EFFECTS-ONCE
Добавить вариант: обработчик WebSocket-события, зарегистрированный дважды (наследование)
Паттерн: Одно сообщение WebSocket вызывает ровно одну обработку и один ответ</t>
        </is>
      </c>
      <c r="G64" s="3" t="inlineStr">
        <is>
          <t>on a single event, test1, the server will provide 2 responses</t>
        </is>
      </c>
      <c r="H64" s="5" t="inlineStr">
        <is>
          <t>совпадает</t>
        </is>
      </c>
      <c r="I64" s="3" t="inlineStr">
        <is>
          <t>BIZ-SIDE-EFFECTS-ONCE подходит</t>
        </is>
      </c>
      <c r="J64" s="3" t="inlineStr"/>
      <c r="K64" s="6" t="n"/>
      <c r="L64" s="7" t="n"/>
    </row>
    <row r="65">
      <c r="A65" s="3" t="inlineStr">
        <is>
          <t>M14</t>
        </is>
      </c>
      <c r="B65" s="3" t="inlineStr">
        <is>
          <t>Сопоставление</t>
        </is>
      </c>
      <c r="C65" s="4" t="inlineStr">
        <is>
          <t>GHSA-g734-fhp4-7mfp</t>
        </is>
      </c>
      <c r="D65" s="3" t="inlineStr">
        <is>
          <t>ghsa-npm</t>
        </is>
      </c>
      <c r="E65" s="3" t="inlineStr">
        <is>
          <t>API</t>
        </is>
      </c>
      <c r="F65" s="3" t="inlineStr">
        <is>
          <t>extends → INJ-SSRF-PARAMETERS
Добавить вариант: параметр базового URL сторонней интеграции - проверять не только доступ к внутренней сети, но и утечку серверного токена интеграции на подконтрольный внешний адрес
Паттерн: Пользовательский базовый URL интеграции не уводит запросы с серверными учётными данными</t>
        </is>
      </c>
      <c r="G65" s="3" t="inlineStr">
        <is>
          <t>may cause the backend to contact unintended destinations and disclose Sentry integration credentials</t>
        </is>
      </c>
      <c r="H65" s="5" t="inlineStr">
        <is>
          <t>совпадает</t>
        </is>
      </c>
      <c r="I65" s="3" t="inlineStr">
        <is>
          <t>INJ-SSRF-PARAMETERS подходит</t>
        </is>
      </c>
      <c r="J65" s="3" t="inlineStr"/>
      <c r="K65" s="6" t="n"/>
      <c r="L65" s="7" t="n"/>
    </row>
    <row r="66">
      <c r="A66" s="3" t="inlineStr">
        <is>
          <t>M15</t>
        </is>
      </c>
      <c r="B66" s="3" t="inlineStr">
        <is>
          <t>Сопоставление</t>
        </is>
      </c>
      <c r="C66" s="4" t="inlineStr">
        <is>
          <t>GHSA-v6pj-gxxw-phfw</t>
        </is>
      </c>
      <c r="D66" s="3" t="inlineStr">
        <is>
          <t>ghsa-npm</t>
        </is>
      </c>
      <c r="E66" s="3" t="inlineStr">
        <is>
          <t>API</t>
        </is>
      </c>
      <c r="F66" s="3" t="inlineStr">
        <is>
          <t>extends → INJ-SQL
Вариант: инъекция в имени поля (ключе JSON), а не в значении; связано с REST-MASS-ASSIGNMENT
Паттерн: Имена полей JSON не попадают в SQL без экранирования</t>
        </is>
      </c>
      <c r="G66" s="3" t="inlineStr">
        <is>
          <t>each key becoming a column name… wrote the key out unescaped</t>
        </is>
      </c>
      <c r="H66" s="5" t="inlineStr">
        <is>
          <t>совпадает</t>
        </is>
      </c>
      <c r="I66" s="3" t="inlineStr">
        <is>
          <t>INJ-SQL подходит</t>
        </is>
      </c>
      <c r="J66" s="3" t="inlineStr"/>
      <c r="K66" s="6" t="n"/>
      <c r="L66" s="7" t="n"/>
    </row>
    <row r="67">
      <c r="A67" s="3" t="inlineStr">
        <is>
          <t>M16</t>
        </is>
      </c>
      <c r="B67" s="3" t="inlineStr">
        <is>
          <t>Сопоставление</t>
        </is>
      </c>
      <c r="C67" s="4" t="inlineStr">
        <is>
          <t>GHSA-g74q-6g2f-874x</t>
        </is>
      </c>
      <c r="D67" s="3" t="inlineStr">
        <is>
          <t>ghsa-npm</t>
        </is>
      </c>
      <c r="E67" s="3" t="inlineStr">
        <is>
          <t>API</t>
        </is>
      </c>
      <c r="F67" s="3" t="inlineStr">
        <is>
          <t>extends → SEC-TOKEN-AUDIENCE
Вариант: аудитория/приложение для проверки берётся из параметра запроса — должна браться из конфигурации сервиса
Паттерн: Токен проверяется против собственного идентификатора приложения, а не указанного в запросе</t>
        </is>
      </c>
      <c r="G67" s="3" t="inlineStr">
        <is>
          <t>the clientID comes from the request and is never compared to the site's own configured TinaCloud app id</t>
        </is>
      </c>
      <c r="H67" s="5" t="inlineStr">
        <is>
          <t>совпадает</t>
        </is>
      </c>
      <c r="I67" s="3" t="inlineStr">
        <is>
          <t>SEC-TOKEN-AUDIENCE подходит</t>
        </is>
      </c>
      <c r="J67" s="3" t="inlineStr"/>
      <c r="K67" s="6" t="n"/>
      <c r="L67" s="7" t="n"/>
    </row>
    <row r="68">
      <c r="A68" s="3" t="inlineStr">
        <is>
          <t>M17</t>
        </is>
      </c>
      <c r="B68" s="3" t="inlineStr">
        <is>
          <t>Сопоставление</t>
        </is>
      </c>
      <c r="C68" s="4" t="inlineStr">
        <is>
          <t>keycloak/keycloak#51674</t>
        </is>
      </c>
      <c r="D68" s="3" t="inlineStr">
        <is>
          <t>keycloak</t>
        </is>
      </c>
      <c r="E68" s="3" t="inlineStr">
        <is>
          <t>API</t>
        </is>
      </c>
      <c r="F68" s="3" t="inlineStr">
        <is>
          <t>extends → AUTH-PASSWORD-POLICY
Добавить вариант: режим с ограниченным криптопровайдером (FIPS), пароль короче его внутреннего минимума — ошибка политики, а не 5xx; проверить все пути (смена, сброс, обязательное обновление)
Паттерн: Пароль короче внутреннего минимума криптопровайдера отклоняется ошибкой политики, а не 5xx</t>
        </is>
      </c>
      <c r="G68" s="3" t="inlineStr">
        <is>
          <t>in FIPS mode… a password whose length is under the minimum mandated by FIPS there is an internal error</t>
        </is>
      </c>
      <c r="H68" s="5" t="inlineStr">
        <is>
          <t>совпадает</t>
        </is>
      </c>
      <c r="I68" s="3" t="inlineStr">
        <is>
          <t>AUTH-PASSWORD-POLICY подходит</t>
        </is>
      </c>
      <c r="J68" s="3" t="inlineStr">
        <is>
          <t>выборочно</t>
        </is>
      </c>
      <c r="K68" s="6" t="n"/>
      <c r="L68" s="7" t="n"/>
    </row>
    <row r="69">
      <c r="A69" s="3" t="inlineStr">
        <is>
          <t>M18</t>
        </is>
      </c>
      <c r="B69" s="3" t="inlineStr">
        <is>
          <t>Сопоставление</t>
        </is>
      </c>
      <c r="C69" s="4" t="inlineStr">
        <is>
          <t>directus/directus#27844</t>
        </is>
      </c>
      <c r="D69" s="3" t="inlineStr">
        <is>
          <t>directus</t>
        </is>
      </c>
      <c r="E69" s="3" t="inlineStr">
        <is>
          <t>API</t>
        </is>
      </c>
      <c r="F69" s="3" t="inlineStr">
        <is>
          <t>extends → REQ-CROSS-CLIENT-CONSISTENCY
Вариант: разные транспорты одного API (REST и WebSocket) — валидация параметров должна совпадать
Паттерн: Валидация параметров одинакова для REST и WebSocket</t>
        </is>
      </c>
      <c r="G69" s="3" t="inlineStr">
        <is>
          <t>over WebSocket an invalid limit such as -5 is silently accepted, whereas the same request over REST returns a 400</t>
        </is>
      </c>
      <c r="H69" s="5" t="inlineStr">
        <is>
          <t>совпадает</t>
        </is>
      </c>
      <c r="I69" s="3" t="inlineStr">
        <is>
          <t>REQ-CROSS-CLIENT-CONSISTENCY подходит</t>
        </is>
      </c>
      <c r="J69" s="3" t="inlineStr"/>
      <c r="K69" s="6" t="n"/>
      <c r="L69" s="7" t="n"/>
    </row>
    <row r="70">
      <c r="A70" s="3" t="inlineStr">
        <is>
          <t>M19</t>
        </is>
      </c>
      <c r="B70" s="3" t="inlineStr">
        <is>
          <t>Сопоставление</t>
        </is>
      </c>
      <c r="C70" s="4" t="inlineStr">
        <is>
          <t>keycloak/keycloak#52776</t>
        </is>
      </c>
      <c r="D70" s="3" t="inlineStr">
        <is>
          <t>keycloak</t>
        </is>
      </c>
      <c r="E70" s="3" t="inlineStr">
        <is>
          <t>API</t>
        </is>
      </c>
      <c r="F70" s="3" t="inlineStr">
        <is>
          <t>extends → VAL-ARRAY-ITEMS-BOUNDARIES
Добавить обязательный массив с пустыми элементами среди непустых
Паттерн: Обязательное поле-массив с пустыми элементами рядом с непустыми валидируется по значимым значениям</t>
        </is>
      </c>
      <c r="G70" s="3" t="inlineStr">
        <is>
          <t>Area: login/ui… The problem only occurs when using the keycloak.v2 login theme</t>
        </is>
      </c>
      <c r="H70" s="10" t="inlineStr">
        <is>
          <t>не совпадает</t>
        </is>
      </c>
      <c r="I70" s="3" t="inlineStr">
        <is>
          <t>Это баг интерфейса (тема входа), а не API — ошибка триажа; сопоставление с VAL-ARRAY-ITEMS-BOUNDARIES поэтому тоже неверно</t>
        </is>
      </c>
      <c r="J70" s="9" t="inlineStr">
        <is>
          <t>обязательно</t>
        </is>
      </c>
      <c r="K70" s="6" t="n"/>
      <c r="L70" s="7" t="n"/>
    </row>
    <row r="71">
      <c r="A71" s="3" t="inlineStr">
        <is>
          <t>M20</t>
        </is>
      </c>
      <c r="B71" s="3" t="inlineStr">
        <is>
          <t>Сопоставление</t>
        </is>
      </c>
      <c r="C71" s="4" t="inlineStr">
        <is>
          <t>GHSA-8xcj-9hfr-fh9j</t>
        </is>
      </c>
      <c r="D71" s="3" t="inlineStr">
        <is>
          <t>ghsa-npm</t>
        </is>
      </c>
      <c r="E71" s="3" t="inlineStr">
        <is>
          <t>API</t>
        </is>
      </c>
      <c r="F71" s="3" t="inlineStr">
        <is>
          <t>extends → SEC-OWNERSHIP-READ
Добавить вариант: косвенное чтение через clone/copy/duplicate — права проверяются и на источник, а не только на место назначения
Паттерн: Клонирование и копирование ресурса проверяют право чтения источника</t>
        </is>
      </c>
      <c r="G71" s="3" t="inlineStr">
        <is>
          <t>it does not verify that the caller can access the source project</t>
        </is>
      </c>
      <c r="H71" s="5" t="inlineStr">
        <is>
          <t>совпадает</t>
        </is>
      </c>
      <c r="I71" s="3" t="inlineStr">
        <is>
          <t>SEC-OWNERSHIP-READ подходит</t>
        </is>
      </c>
      <c r="J71" s="3" t="inlineStr"/>
      <c r="K71" s="6" t="n"/>
      <c r="L71" s="7" t="n"/>
    </row>
    <row r="72">
      <c r="A72" s="3" t="inlineStr">
        <is>
          <t>M21</t>
        </is>
      </c>
      <c r="B72" s="3" t="inlineStr">
        <is>
          <t>Сопоставление</t>
        </is>
      </c>
      <c r="C72" s="4" t="inlineStr">
        <is>
          <t>GHSA-r3ph-w7gj-g6xm</t>
        </is>
      </c>
      <c r="D72" s="3" t="inlineStr">
        <is>
          <t>ghsa-npm</t>
        </is>
      </c>
      <c r="E72" s="3" t="inlineStr">
        <is>
          <t>API</t>
        </is>
      </c>
      <c r="F72" s="3" t="inlineStr">
        <is>
          <t>extends → HARD-EXPENSIVE-OPERATION-LIMITS
Добавить вариант: YAML с алиасами и merge-ключами (включая пустые отображения) — стоимость разбора ограничена
Паттерн: Разбор YAML из запроса ограничен по стоимости алиасов и merge-ключей</t>
        </is>
      </c>
      <c r="G72" s="3" t="inlineStr">
        <is>
          <t>maxTotalMergeKeys does not count empty mappings… O(N * K) work</t>
        </is>
      </c>
      <c r="H72" s="5" t="inlineStr">
        <is>
          <t>совпадает</t>
        </is>
      </c>
      <c r="I72" s="3" t="inlineStr">
        <is>
          <t>HARD-EXPENSIVE-OPERATION-LIMITS подходит</t>
        </is>
      </c>
      <c r="J72" s="3" t="inlineStr"/>
      <c r="K72" s="6" t="n"/>
      <c r="L72" s="7" t="n"/>
    </row>
    <row r="73">
      <c r="A73" s="3" t="inlineStr">
        <is>
          <t>M22</t>
        </is>
      </c>
      <c r="B73" s="3" t="inlineStr">
        <is>
          <t>Сопоставление</t>
        </is>
      </c>
      <c r="C73" s="4" t="inlineStr">
        <is>
          <t>keycloak/keycloak#49388</t>
        </is>
      </c>
      <c r="D73" s="3" t="inlineStr">
        <is>
          <t>keycloak</t>
        </is>
      </c>
      <c r="E73" s="3" t="inlineStr">
        <is>
          <t>API</t>
        </is>
      </c>
      <c r="F73" s="3" t="inlineStr">
        <is>
          <t>extends → SEC-SCOPE-EXTRA-UNTRUSTED
Вариант: согласованность проверки scope между grant type (позитивная и негативная сторона)
Паттерн: Проверка scope одинакова во всех способах получения токена</t>
        </is>
      </c>
      <c r="G73" s="3" t="inlineStr">
        <is>
          <t>Dynamic scopes can be request using CIBA… the dynamic scope is considered as invalid</t>
        </is>
      </c>
      <c r="H73" s="8" t="inlineStr">
        <is>
          <t>сомнение</t>
        </is>
      </c>
      <c r="I73" s="3" t="inlineStr">
        <is>
          <t>Баг позитивный (законный scope отклоняется), а SEC-SCOPE-EXTRA-UNTRUSTED — негативная запись про лишние scope; связь натянута</t>
        </is>
      </c>
      <c r="J73" s="9" t="inlineStr">
        <is>
          <t>обязательно</t>
        </is>
      </c>
      <c r="K73" s="6" t="n"/>
      <c r="L73" s="7" t="n"/>
    </row>
    <row r="74">
      <c r="A74" s="3" t="inlineStr">
        <is>
          <t>M23</t>
        </is>
      </c>
      <c r="B74" s="3" t="inlineStr">
        <is>
          <t>Сопоставление</t>
        </is>
      </c>
      <c r="C74" s="4" t="inlineStr">
        <is>
          <t>GHSA-jp82-f5mq-hwhp</t>
        </is>
      </c>
      <c r="D74" s="3" t="inlineStr">
        <is>
          <t>ghsa-npm</t>
        </is>
      </c>
      <c r="E74" s="3" t="inlineStr">
        <is>
          <t>API</t>
        </is>
      </c>
      <c r="F74" s="3" t="inlineStr">
        <is>
          <t>extends → VAL-LARGE-COLLECTION-PAYLOAD
Добавить вариант: объявленная длина без самих данных (маленький запрос — большое выделение)
Паттерн: Объявленная длина в сериализованных данных не приводит к выделению без лимита</t>
        </is>
      </c>
      <c r="G74" s="3" t="inlineStr">
        <is>
          <t>a tiny payload can name any allocation size</t>
        </is>
      </c>
      <c r="H74" s="5" t="inlineStr">
        <is>
          <t>совпадает</t>
        </is>
      </c>
      <c r="I74" s="3" t="inlineStr">
        <is>
          <t>VAL-LARGE-COLLECTION-PAYLOAD подходит</t>
        </is>
      </c>
      <c r="J74" s="3" t="inlineStr"/>
      <c r="K74" s="6" t="n"/>
      <c r="L74" s="7" t="n"/>
    </row>
    <row r="75">
      <c r="A75" s="3" t="inlineStr">
        <is>
          <t>M24</t>
        </is>
      </c>
      <c r="B75" s="3" t="inlineStr">
        <is>
          <t>Сопоставление</t>
        </is>
      </c>
      <c r="C75" s="4" t="inlineStr">
        <is>
          <t>GHSA-2m6q-8v3h-jqww</t>
        </is>
      </c>
      <c r="D75" s="3" t="inlineStr">
        <is>
          <t>ghsa-npm</t>
        </is>
      </c>
      <c r="E75" s="3" t="inlineStr">
        <is>
          <t>API</t>
        </is>
      </c>
      <c r="F75" s="3" t="inlineStr">
        <is>
          <t>extends → REST-OPEN-REDIRECT
Вариант: редирект на внутренний маршрут, где пользовательское значение — сегмент пути; проверить scheme-relative '//host'
Паттерн: Значение с ведущим слэшем в параметре пути не превращает Location в адрес другого хоста</t>
        </is>
      </c>
      <c r="G75" s="3" t="inlineStr">
        <is>
          <t>a value beginning with / can produce a scheme-relative URL… Location: //evil.example.com</t>
        </is>
      </c>
      <c r="H75" s="5" t="inlineStr">
        <is>
          <t>совпадает</t>
        </is>
      </c>
      <c r="I75" s="3" t="inlineStr">
        <is>
          <t>REST-OPEN-REDIRECT подходит</t>
        </is>
      </c>
      <c r="J75" s="3" t="inlineStr">
        <is>
          <t>выборочно</t>
        </is>
      </c>
      <c r="K75" s="6" t="n"/>
      <c r="L75" s="7" t="n"/>
    </row>
    <row r="76">
      <c r="A76" s="3" t="inlineStr">
        <is>
          <t>M25</t>
        </is>
      </c>
      <c r="B76" s="3" t="inlineStr">
        <is>
          <t>Сопоставление</t>
        </is>
      </c>
      <c r="C76" s="4" t="inlineStr">
        <is>
          <t>directus/directus#28042</t>
        </is>
      </c>
      <c r="D76" s="3" t="inlineStr">
        <is>
          <t>directus</t>
        </is>
      </c>
      <c r="E76" s="3" t="inlineStr">
        <is>
          <t>API</t>
        </is>
      </c>
      <c r="F76" s="3" t="inlineStr">
        <is>
          <t>extends → RES-TIMESTAMPS
Добавить проверку меток времени для всех альтернативных путей создания (resumable-загрузка и др.)
Паттерн: Все способы создания ресурса заполняют серверные метки времени одинаково</t>
        </is>
      </c>
      <c r="G76" s="3" t="inlineStr">
        <is>
          <t>A file created through the TUS resumable-upload endpoint never gets its uploaded_on column populated</t>
        </is>
      </c>
      <c r="H76" s="5" t="inlineStr">
        <is>
          <t>совпадает</t>
        </is>
      </c>
      <c r="I76" s="3" t="inlineStr">
        <is>
          <t>RES-TIMESTAMPS подходит</t>
        </is>
      </c>
      <c r="J76" s="3" t="inlineStr"/>
      <c r="K76" s="6" t="n"/>
      <c r="L76" s="7" t="n"/>
    </row>
    <row r="77">
      <c r="A77" s="3" t="inlineStr">
        <is>
          <t>M26</t>
        </is>
      </c>
      <c r="B77" s="3" t="inlineStr">
        <is>
          <t>Сопоставление</t>
        </is>
      </c>
      <c r="C77" s="4" t="inlineStr">
        <is>
          <t>strapi/strapi#26606</t>
        </is>
      </c>
      <c r="D77" s="3" t="inlineStr">
        <is>
          <t>strapi</t>
        </is>
      </c>
      <c r="E77" s="3" t="inlineStr">
        <is>
          <t>API</t>
        </is>
      </c>
      <c r="F77" s="3" t="inlineStr">
        <is>
          <t>extends → RES-CREATE-RESPONSE-MATCHES-READ
Добавить вариант: поле-связь, заданное альтернативным идентификатором, на нестандартном эндпоинте ресурса — 200 без применения
Паттерн: Изменение поля-связи через альтернативный идентификатор связанного объекта применяется или отклоняется, а не молча игнорируется</t>
        </is>
      </c>
      <c r="G77" s="3" t="inlineStr">
        <is>
          <t>I try to update a oneToMany relation field on a user entry, I get a 200 status, even though the data is NOT updated</t>
        </is>
      </c>
      <c r="H77" s="5" t="inlineStr">
        <is>
          <t>совпадает</t>
        </is>
      </c>
      <c r="I77" s="3" t="inlineStr">
        <is>
          <t>RES-CREATE-RESPONSE-MATCHES-READ подходит</t>
        </is>
      </c>
      <c r="J77" s="3" t="inlineStr">
        <is>
          <t>выборочно</t>
        </is>
      </c>
      <c r="K77" s="6" t="n"/>
      <c r="L77" s="7" t="n"/>
    </row>
    <row r="78">
      <c r="A78" s="3" t="inlineStr">
        <is>
          <t>M27</t>
        </is>
      </c>
      <c r="B78" s="3" t="inlineStr">
        <is>
          <t>Сопоставление</t>
        </is>
      </c>
      <c r="C78" s="4" t="inlineStr">
        <is>
          <t>nestjs/nest#437</t>
        </is>
      </c>
      <c r="D78" s="3" t="inlineStr">
        <is>
          <t>nestjs-nest</t>
        </is>
      </c>
      <c r="E78" s="3" t="inlineStr">
        <is>
          <t>API</t>
        </is>
      </c>
      <c r="F78" s="3" t="inlineStr">
        <is>
          <t>covered → FILE-UPLOAD-TYPE-VALIDATION
Паттерн: Загрузка недопустимого типа файла отклоняется</t>
        </is>
      </c>
      <c r="G78" s="3" t="inlineStr">
        <is>
          <t>fileFilter… FileIntercepter is completely ignoring this</t>
        </is>
      </c>
      <c r="H78" s="5" t="inlineStr">
        <is>
          <t>совпадает</t>
        </is>
      </c>
      <c r="I78" s="3" t="inlineStr">
        <is>
          <t>FILE-UPLOAD-TYPE-VALIDATION — ровно это</t>
        </is>
      </c>
      <c r="J78" s="3" t="inlineStr"/>
      <c r="K78" s="6" t="n"/>
      <c r="L78" s="7" t="n"/>
    </row>
    <row r="79">
      <c r="A79" s="3" t="inlineStr">
        <is>
          <t>M28</t>
        </is>
      </c>
      <c r="B79" s="3" t="inlineStr">
        <is>
          <t>Сопоставление</t>
        </is>
      </c>
      <c r="C79" s="4" t="inlineStr">
        <is>
          <t>GHSA-7c34-32v3-j575</t>
        </is>
      </c>
      <c r="D79" s="3" t="inlineStr">
        <is>
          <t>ghsa-npm</t>
        </is>
      </c>
      <c r="E79" s="3" t="inlineStr">
        <is>
          <t>API</t>
        </is>
      </c>
      <c r="F79" s="3" t="inlineStr">
        <is>
          <t>extends → SEC-OWNERSHIP-REFERENCE-INDIRECT
Добавить вариант: раскрытие связи и фильтр по полям связанной коллекции с условными правами чтения
Паттерн: Запросы по связям не раскрывают защищённые связанные объекты</t>
        </is>
      </c>
      <c r="G79" s="3" t="inlineStr">
        <is>
          <t>A readable collection could expose information about protected documents in a related collection</t>
        </is>
      </c>
      <c r="H79" s="5" t="inlineStr">
        <is>
          <t>совпадает</t>
        </is>
      </c>
      <c r="I79" s="3" t="inlineStr">
        <is>
          <t>SEC-OWNERSHIP-REFERENCE-INDIRECT подходит</t>
        </is>
      </c>
      <c r="J79" s="3" t="inlineStr"/>
      <c r="K79" s="6" t="n"/>
      <c r="L79" s="7" t="n"/>
    </row>
    <row r="80">
      <c r="A80" s="3" t="inlineStr">
        <is>
          <t>M29</t>
        </is>
      </c>
      <c r="B80" s="3" t="inlineStr">
        <is>
          <t>Сопоставление</t>
        </is>
      </c>
      <c r="C80" s="4" t="inlineStr">
        <is>
          <t>strapi/strapi#26359</t>
        </is>
      </c>
      <c r="D80" s="3" t="inlineStr">
        <is>
          <t>strapi</t>
        </is>
      </c>
      <c r="E80" s="3" t="inlineStr">
        <is>
          <t>API</t>
        </is>
      </c>
      <c r="F80" s="3" t="inlineStr">
        <is>
          <t>extends → REST-FILTER-SORT-COMPOSITION
Добавить вариант: сортировка на уровне раскрываемой связи вместе с сортировкой верхнего уровня
Паттерн: Сортировка, заданная для раскрываемой вложенной связи, применяется</t>
        </is>
      </c>
      <c r="G80" s="3" t="inlineStr">
        <is>
          <t>in sort: 'position', the query worked well. But product_tags.sort does not work</t>
        </is>
      </c>
      <c r="H80" s="5" t="inlineStr">
        <is>
          <t>совпадает</t>
        </is>
      </c>
      <c r="I80" s="3" t="inlineStr">
        <is>
          <t>REST-FILTER-SORT-COMPOSITION подходит</t>
        </is>
      </c>
      <c r="J80" s="3" t="inlineStr"/>
      <c r="K80" s="6" t="n"/>
      <c r="L80" s="7" t="n"/>
    </row>
    <row r="81">
      <c r="A81" s="3" t="inlineStr">
        <is>
          <t>M30</t>
        </is>
      </c>
      <c r="B81" s="3" t="inlineStr">
        <is>
          <t>Сопоставление</t>
        </is>
      </c>
      <c r="C81" s="4" t="inlineStr">
        <is>
          <t>directus/directus#27412</t>
        </is>
      </c>
      <c r="D81" s="3" t="inlineStr">
        <is>
          <t>directus</t>
        </is>
      </c>
      <c r="E81" s="3" t="inlineStr">
        <is>
          <t>API</t>
        </is>
      </c>
      <c r="F81" s="3" t="inlineStr">
        <is>
          <t>extends → RESIL-DEPENDENCY-DOWN
Добавить вариант: ошибка зависимости не маппится в 403/404 (ложный отказ в доступе)
Паттерн: Сбой или таймаут хранилища не выдаётся за отказ в доступе или отсутствие объекта</t>
        </is>
      </c>
      <c r="G81" s="3" t="inlineStr">
        <is>
          <t>getAsset() masks the storage-layer failure as a bare 403</t>
        </is>
      </c>
      <c r="H81" s="5" t="inlineStr">
        <is>
          <t>совпадает</t>
        </is>
      </c>
      <c r="I81" s="3" t="inlineStr">
        <is>
          <t>RESIL-DEPENDENCY-DOWN подходит</t>
        </is>
      </c>
      <c r="J81" s="3" t="inlineStr"/>
      <c r="K81" s="6" t="n"/>
      <c r="L81" s="7" t="n"/>
    </row>
  </sheetData>
  <autoFilter ref="A1:L81"/>
  <dataValidations count="1">
    <dataValidation sqref="K2:K81" showDropDown="0" showInputMessage="0" showErrorMessage="0" allowBlank="1" type="list">
      <formula1>"да,нет,не знаю"</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6" customWidth="1" min="1" max="1"/>
    <col width="8" customWidth="1" min="2" max="2"/>
    <col width="12" customWidth="1" min="3" max="3"/>
    <col width="12" customWidth="1" min="4" max="4"/>
    <col width="14" customWidth="1" min="5" max="5"/>
    <col width="14" customWidth="1" min="6" max="6"/>
    <col width="14" customWidth="1" min="7" max="7"/>
    <col width="16" customWidth="1" min="8" max="8"/>
    <col width="30" customWidth="1" min="9" max="9"/>
  </cols>
  <sheetData>
    <row r="1">
      <c r="A1" s="9" t="inlineStr">
        <is>
          <t>Раздел</t>
        </is>
      </c>
      <c r="B1" s="9" t="inlineStr">
        <is>
          <t>Строк</t>
        </is>
      </c>
      <c r="C1" s="9" t="inlineStr">
        <is>
          <t>Человек: да</t>
        </is>
      </c>
      <c r="D1" s="9" t="inlineStr">
        <is>
          <t>Человек: нет</t>
        </is>
      </c>
      <c r="E1" s="9" t="inlineStr">
        <is>
          <t>Человек: не знаю</t>
        </is>
      </c>
      <c r="F1" s="9" t="inlineStr">
        <is>
          <t>Claude: совпадает</t>
        </is>
      </c>
      <c r="G1" s="9" t="inlineStr">
        <is>
          <t>Claude: сомнение</t>
        </is>
      </c>
      <c r="H1" s="9" t="inlineStr">
        <is>
          <t>Claude: не совпадает</t>
        </is>
      </c>
      <c r="I1" s="9" t="inlineStr">
        <is>
          <t>Верно, % (человек, иначе Claude; «не знаю» = Claude; сомнения не в расчёте)</t>
        </is>
      </c>
    </row>
    <row r="2">
      <c r="A2" t="inlineStr">
        <is>
          <t>Триаж</t>
        </is>
      </c>
      <c r="B2">
        <f>COUNTIF(Выборка!$B:$B,A2)</f>
        <v/>
      </c>
      <c r="C2">
        <f>COUNTIFS(Выборка!$B:$B,A2,Выборка!$K:$K,"да")</f>
        <v/>
      </c>
      <c r="D2">
        <f>COUNTIFS(Выборка!$B:$B,A2,Выборка!$K:$K,"нет")</f>
        <v/>
      </c>
      <c r="E2">
        <f>COUNTIFS(Выборка!$B:$B,A2,Выборка!$K:$K,"не знаю")</f>
        <v/>
      </c>
      <c r="F2">
        <f>COUNTIFS(Выборка!$B:$B,A2,Выборка!$H:$H,"совпадает")</f>
        <v/>
      </c>
      <c r="G2">
        <f>COUNTIFS(Выборка!$B:$B,A2,Выборка!$H:$H,"сомнение")</f>
        <v/>
      </c>
      <c r="H2">
        <f>COUNTIFS(Выборка!$B:$B,A2,Выборка!$H:$H,"не совпадает")</f>
        <v/>
      </c>
      <c r="I2">
        <f>IFERROR(100*(C2+COUNTIFS(Выборка!$B:$B,A2,Выборка!$K:$K,"",Выборка!$H:$H,"совпадает")+COUNTIFS(Выборка!$B:$B,A2,Выборка!$K:$K,"не знаю",Выборка!$H:$H,"совпадает"))/(C2+D2+COUNTIFS(Выборка!$B:$B,A2,Выборка!$K:$K,"",Выборка!$H:$H,"совпадает")+COUNTIFS(Выборка!$B:$B,A2,Выборка!$K:$K,"не знаю",Выборка!$H:$H,"совпадает")+COUNTIFS(Выборка!$B:$B,A2,Выборка!$K:$K,"",Выборка!$H:$H,"не совпадает")+COUNTIFS(Выборка!$B:$B,A2,Выборка!$K:$K,"не знаю",Выборка!$H:$H,"не совпадает")),"")</f>
        <v/>
      </c>
    </row>
    <row r="3">
      <c r="A3" t="inlineStr">
        <is>
          <t>Сопоставление</t>
        </is>
      </c>
      <c r="B3">
        <f>COUNTIF(Выборка!$B:$B,A3)</f>
        <v/>
      </c>
      <c r="C3">
        <f>COUNTIFS(Выборка!$B:$B,A3,Выборка!$K:$K,"да")</f>
        <v/>
      </c>
      <c r="D3">
        <f>COUNTIFS(Выборка!$B:$B,A3,Выборка!$K:$K,"нет")</f>
        <v/>
      </c>
      <c r="E3">
        <f>COUNTIFS(Выборка!$B:$B,A3,Выборка!$K:$K,"не знаю")</f>
        <v/>
      </c>
      <c r="F3">
        <f>COUNTIFS(Выборка!$B:$B,A3,Выборка!$H:$H,"совпадает")</f>
        <v/>
      </c>
      <c r="G3">
        <f>COUNTIFS(Выборка!$B:$B,A3,Выборка!$H:$H,"сомнение")</f>
        <v/>
      </c>
      <c r="H3">
        <f>COUNTIFS(Выборка!$B:$B,A3,Выборка!$H:$H,"не совпадает")</f>
        <v/>
      </c>
      <c r="I3">
        <f>IFERROR(100*(C3+COUNTIFS(Выборка!$B:$B,A3,Выборка!$K:$K,"",Выборка!$H:$H,"совпадает")+COUNTIFS(Выборка!$B:$B,A3,Выборка!$K:$K,"не знаю",Выборка!$H:$H,"совпадает"))/(C3+D3+COUNTIFS(Выборка!$B:$B,A3,Выборка!$K:$K,"",Выборка!$H:$H,"совпадает")+COUNTIFS(Выборка!$B:$B,A3,Выборка!$K:$K,"не знаю",Выборка!$H:$H,"совпадает")+COUNTIFS(Выборка!$B:$B,A3,Выборка!$K:$K,"",Выборка!$H:$H,"не совпадает")+COUNTIFS(Выборка!$B:$B,A3,Выборка!$K:$K,"не знаю",Выборка!$H:$H,"не совпадает")),"")</f>
        <v/>
      </c>
    </row>
    <row r="5">
      <c r="A5" t="inlineStr">
        <is>
          <t>Цель — не меньше 85 % в каждом разделе (ADR 0005).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2026-10-15T10:09:10Z</dcterms:created>
  <dcterms:modified xmlns:dcterms="http://purl.org/dc/terms/" xmlns:xsi="http://www.w3.org/2001/XMLSchema-instance" xsi:type="dcterms:W3CDTF">2026-10-15T10:09:10Z</dcterms:modified>
</cp:coreProperties>
</file>