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\Test-Library\Api\ideas\mined\"/>
    </mc:Choice>
  </mc:AlternateContent>
  <xr:revisionPtr revIDLastSave="0" documentId="13_ncr:1_{D01133FB-BA79-42B8-B699-3DCE15A8392F}" xr6:coauthVersionLast="47" xr6:coauthVersionMax="47" xr10:uidLastSave="{00000000-0000-0000-0000-000000000000}"/>
  <bookViews>
    <workbookView xWindow="2730" yWindow="2265" windowWidth="51180" windowHeight="24855" activeTab="1" xr2:uid="{00000000-000D-0000-FFFF-FFFF00000000}"/>
  </bookViews>
  <sheets>
    <sheet name="Как заполнять" sheetId="1" r:id="rId1"/>
    <sheet name="Выборка" sheetId="2" r:id="rId2"/>
    <sheet name="Итог" sheetId="3" r:id="rId3"/>
  </sheets>
  <definedNames>
    <definedName name="_xlnm._FilterDatabase" localSheetId="1" hidden="1">Выборка!$A$1:$L$41</definedName>
  </definedNames>
  <calcPr calcId="191029"/>
</workbook>
</file>

<file path=xl/calcChain.xml><?xml version="1.0" encoding="utf-8"?>
<calcChain xmlns="http://schemas.openxmlformats.org/spreadsheetml/2006/main">
  <c r="H3" i="3" l="1"/>
  <c r="G3" i="3"/>
  <c r="F3" i="3"/>
  <c r="E3" i="3"/>
  <c r="D3" i="3"/>
  <c r="C3" i="3"/>
  <c r="I3" i="3" s="1"/>
  <c r="B3" i="3"/>
  <c r="H2" i="3"/>
  <c r="G2" i="3"/>
  <c r="F2" i="3"/>
  <c r="E2" i="3"/>
  <c r="D2" i="3"/>
  <c r="C2" i="3"/>
  <c r="I2" i="3" s="1"/>
  <c r="B2" i="3"/>
</calcChain>
</file>

<file path=xl/sharedStrings.xml><?xml version="1.0" encoding="utf-8"?>
<sst xmlns="http://schemas.openxmlformats.org/spreadsheetml/2006/main" count="415" uniqueCount="253">
  <si>
    <t>Что проверять</t>
  </si>
  <si>
    <t>Вопрос не «нужна ли такая проверка» и не «баг ли это вообще», а «правильно ли LLM пересказала исходный баг».</t>
  </si>
  <si>
    <t>Открыть ссылку в колонке «Баг» и сравнить с колонками «Решение LLM» и «Паттерн / сопоставление»:</t>
  </si>
  <si>
    <t>• Триаж: верно ли решение «API» / «вне области» и класс корзины;</t>
  </si>
  <si>
    <t>• Пересказ (строки API): совпадает ли паттерн с багом — не перепутана суть, не додумано ожидание, которого нет;</t>
  </si>
  <si>
    <t>• Сопоставление: действительно ли баг относится к записи (covered — уже покрыт, extends — новый вариант записи).</t>
  </si>
  <si>
    <t>Как заполнять</t>
  </si>
  <si>
    <t>1. Фильтр по колонке «Проверить»: «обязательно» — Claude сомневается или нашёл расхождение; «выборочно» — случайная проверка строк, где Claude считает «совпадает».</t>
  </si>
  <si>
    <t>2. В «Верно (человек)» выбрать да / нет / не знаю; в «Комментарий» — почему (особенно для «нет»).</t>
  </si>
  <si>
    <t>3. Остальные строки можно не трогать: засчитывается вывод Claude (и при «не знаю» тоже). Отметка да/нет всегда важнее.</t>
  </si>
  <si>
    <t>4. Идеи новых проверок — тоже в «Комментарий»: Claude перенесёт их в Api/ideas/inbox.md.</t>
  </si>
  <si>
    <t>Цель — не меньше 85 % верных отдельно для триажа и для сопоставления (ADR 0005).</t>
  </si>
  <si>
    <t>Итог считает лист «Итог»; точный расчёт — python tools/mining/accuracy.py score --batch scale-01.</t>
  </si>
  <si>
    <t>ID</t>
  </si>
  <si>
    <t>Раздел</t>
  </si>
  <si>
    <t>Баг</t>
  </si>
  <si>
    <t>Источник</t>
  </si>
  <si>
    <t>Решение LLM</t>
  </si>
  <si>
    <t>Паттерн / сопоставление</t>
  </si>
  <si>
    <t>Выдержка из бага</t>
  </si>
  <si>
    <t>Вывод Claude</t>
  </si>
  <si>
    <t>Почему</t>
  </si>
  <si>
    <t>Проверить</t>
  </si>
  <si>
    <t>Верно (человек)</t>
  </si>
  <si>
    <t>Комментарий</t>
  </si>
  <si>
    <t>M1</t>
  </si>
  <si>
    <t>Сопоставление</t>
  </si>
  <si>
    <t>GHSA-85g9-8j9g-p486</t>
  </si>
  <si>
    <t>ghsa-maven</t>
  </si>
  <si>
    <t>API</t>
  </si>
  <si>
    <t>covered → HARD-SHADOW-API-VERSIONS
Альтернативная версия API без защиты — ровно запись
Паттерн: Экспериментальная версия API применяет те же проверки прав</t>
  </si>
  <si>
    <t>The `/v2` experimental interface lacks permission checks</t>
  </si>
  <si>
    <t>совпадает</t>
  </si>
  <si>
    <t>HARD-SHADOW-API-VERSIONS — ровно это; covered верно</t>
  </si>
  <si>
    <t>M2</t>
  </si>
  <si>
    <t>supabase/auth#1365</t>
  </si>
  <si>
    <t>supabase-auth</t>
  </si>
  <si>
    <t>extends → AUTH-USER-ENUMERATION
Различие ответов не в тексте или времени, а в отдельном поле (role)
Паттерн: Ответ регистрации на занятый email не раскрывает поля существующего пользователя</t>
  </si>
  <si>
    <t>sanitizeUser should remove all user sensitive information… currently Role is not sanitized, which results in the role of a user being leaked</t>
  </si>
  <si>
    <t>Перечисление пользователей через отдельное поле ответа — вариант AUTH-USER-ENUMERATION</t>
  </si>
  <si>
    <t>M3</t>
  </si>
  <si>
    <t>GHSA-vx2m-jpxr-xv7w</t>
  </si>
  <si>
    <t>ghsa-go</t>
  </si>
  <si>
    <t>extends → FILE-DOWNLOAD-AUTHZ
Срок действия ссылки проверяется, но не при восстановлении из кэша контекста
Паттерн: Отозванный или истёкший доступ по общей ссылке не продлевается кэшем контекста</t>
  </si>
  <si>
    <t>a recipient who prewarms a context hint while access is valid can keep minting signed file URLs… after the owner deletes the share or the share expires</t>
  </si>
  <si>
    <t>FILE-DOWNLOAD-AUTHZ проверяет права и срок ссылок; кэш контекста — новый вариант</t>
  </si>
  <si>
    <t>M4</t>
  </si>
  <si>
    <t>GHSA-87mg-5grr-rhwh</t>
  </si>
  <si>
    <t>ghsa-composer</t>
  </si>
  <si>
    <t>covered → REST-SSRF-URL-FETCH
Базовая проверка серверной загрузки по URL
Паттерн: URL ленты из настроек не ведёт на внутренние адреса</t>
  </si>
  <si>
    <t>passes RSS feed URLs from its configuration directly to $this-&gt;feedIo-&gt;read($url) without any scheme validation or private-IP blocklist</t>
  </si>
  <si>
    <t>Базовый SSRF через URL, который загружает сервер; covered верно</t>
  </si>
  <si>
    <t>выборочно</t>
  </si>
  <si>
    <t>M5</t>
  </si>
  <si>
    <t>GHSA-x487-866m-p8hr</t>
  </si>
  <si>
    <t>ghsa-rubygems</t>
  </si>
  <si>
    <t>covered → INJ-TEMPLATE-SSTI
Инъекция шаблона в параметр
Паттерн: Параметр формата не исполняется как серверный шаблон</t>
  </si>
  <si>
    <t>Server-Side Template Injection (SSTI) vulnerability via the formats parameter</t>
  </si>
  <si>
    <t>INJ-TEMPLATE-SSTI; деталей в баге нет, covered верно</t>
  </si>
  <si>
    <t>M6</t>
  </si>
  <si>
    <t>GHSA-f27p-pw2p-9pr4</t>
  </si>
  <si>
    <t>extends → SEC-CLONE-FIELD-PERMISSIONS
Копирование проверяет не те права, что создание; вариант — права на целевой контейнер
Паттерн: Копирование ресурса в родительский контейнер требует тех же прав, что создание в нём</t>
  </si>
  <si>
    <t>duplicate a project they can read into any parent project… regardless of whether they have write access to that parent</t>
  </si>
  <si>
    <t>Запись про права при копировании; право записи в целевой контейнер — вариант</t>
  </si>
  <si>
    <t>M7</t>
  </si>
  <si>
    <t>GHSA-45gv-9wjv-xh7p</t>
  </si>
  <si>
    <t>extends → AUTH-MFA-STEP-UP
Второй фактор не требуется; вариант — вход по паролю при факторе типа passkey
Паттерн: Вход по паролю требует второй фактор любого зарегистрированного типа</t>
  </si>
  <si>
    <t>An account that has registered a passkey but no TOTP is logged in after password verification alone</t>
  </si>
  <si>
    <t>Второй фактор не требуется — AUTH-MFA-STEP-UP, вариант по типу фактора</t>
  </si>
  <si>
    <t>M8</t>
  </si>
  <si>
    <t>directus/directus#24239</t>
  </si>
  <si>
    <t>directus</t>
  </si>
  <si>
    <t>extends → CONC-PARALLEL-INDEPENDENT
Параллельные независимые запросы роняют сервис — вариант с одновременным сбросом кэша
Паттерн: Параллельные запросы после изменения схемы не перестраивают её каждый отдельно</t>
  </si>
  <si>
    <t>all the Graphql requests are trying to build the Graphql schema, after the cache is cleared… Out of Memory</t>
  </si>
  <si>
    <t>Параллельные запросы роняют сервис — CONC-PARALLEL-INDEPENDENT; сброс кэша схемы — вариант из бага</t>
  </si>
  <si>
    <t>M9</t>
  </si>
  <si>
    <t>GHSA-43cq-c2gq-pfpw</t>
  </si>
  <si>
    <t>extends → SEC-AUTHZ-FUNCTION
Вариант — перемещение проверяет чтение, а не запись в назначении
Паттерн: Перемещение требует права записи в назначении</t>
  </si>
  <si>
    <t>checks only whether the current user can view the destination section, but it does not require permission to save entries into that section</t>
  </si>
  <si>
    <t>SEC-AUTHZ-FUNCTION общая, но подходит: нет проверки права на операцию; отдельной записи о перемещении нет</t>
  </si>
  <si>
    <t>M10</t>
  </si>
  <si>
    <t>GHSA-jvh5-97xg-v99f</t>
  </si>
  <si>
    <t>extends → REST-SSRF-URL-FETCH
Контроль URL fetch; вариант — внутренний адрес в IPv6-обёртке
Паттерн: Защита от SSRF распознаёт внутренние адреса в IPv6-обёртках</t>
  </si>
  <si>
    <t>checkIP… do not decode IPv4-in-IPv6 transition wrappers… NAT64… IPv4-compatible… 6to4</t>
  </si>
  <si>
    <t>Вариант обхода SSRF-защиты — из бага</t>
  </si>
  <si>
    <t>M11</t>
  </si>
  <si>
    <t>GHSA-7m6h-rg42-m449</t>
  </si>
  <si>
    <t>extends → AUTH-MFA-STEP-UP
Запись проверяет второй фактор для чувствительных операций; здесь не хватает повторной аутентификации паролем для управления самим вторым фактором
Паттерн: Изменение настроек второго фактора требует подтверждения текущим паролем</t>
  </si>
  <si>
    <t>MFA management actions did not consistently require the user to confirm their current password… could set up app-based MFA and obtain recovery codes without password reauthentication</t>
  </si>
  <si>
    <t>сомнение</t>
  </si>
  <si>
    <t>AUTH-MFA-STEP-UP — про операции без второго фактора; в баге — без повторного ввода пароля при управлении самим MFA. Механизм другой (повторная аутентификация для чувствительных изменений учётки); записи о нём в справочнике нет — ближе к new</t>
  </si>
  <si>
    <t>обязательно</t>
  </si>
  <si>
    <t>M12</t>
  </si>
  <si>
    <t>GHSA-3h96-34p3-xm76</t>
  </si>
  <si>
    <t>extends → GQL-COMPLEXITY-LIMIT
Лимит обходится за счёт токенов, которые не считаются (комментарии)
Паттерн: Лимит токенов запроса GraphQL учитывает комментарии</t>
  </si>
  <si>
    <t>max_query_string_tokens configuration didn't count comment tokens against the limit</t>
  </si>
  <si>
    <t>Обход лимита размера запроса GraphQL; GQL-COMPLEXITY-LIMIT — ближайшая (лимит токенов — не стоимость, но отдельной записи о лимите размера нет)</t>
  </si>
  <si>
    <t>M13</t>
  </si>
  <si>
    <t>GHSA-qq9q-x9w4-chhj</t>
  </si>
  <si>
    <t>extends → SEC-OWNERSHIP-REFERENCE-INDIRECT
Косвенная ссылка разрешается в чужом контексте
Паттерн: Ссылка по имени разрешается в пространстве имён ссылающегося ресурса</t>
  </si>
  <si>
    <t>Traefik used the backend Service namespace instead of the HTTPRoute namespace… bind a Traefik Middleware… without a separate grant</t>
  </si>
  <si>
    <t>Косвенная ссылка разрешается в чужом контексте — SEC-OWNERSHIP-REFERENCE-INDIRECT</t>
  </si>
  <si>
    <t>M14</t>
  </si>
  <si>
    <t>apollographql/apollo-server#3253</t>
  </si>
  <si>
    <t>apollo-server</t>
  </si>
  <si>
    <t>extends → GQL-EQUIVALENT-SELECTION-FORMS
Запись сравнивает формы выбора полей; баг показывает неучтённую форму — фрагмент на интерфейс по полю конкретного типа
Паттерн: Фрагмент на интерфейсе по полю конкретного типа выполняется без ошибки валидации</t>
  </si>
  <si>
    <t>query brand { ... on Node { id } } … error "Fragment cannot be spread here as objects of type Brand can never be of type Department"</t>
  </si>
  <si>
    <t>Inline-фрагмент на интерфейсе ломается там, где прямой выбор работает — вариант GQL-EQUIVALENT-SELECTION-FORMS</t>
  </si>
  <si>
    <t>M15</t>
  </si>
  <si>
    <t>GHSA-pjhx-3c3w-9v23</t>
  </si>
  <si>
    <t>extends → SEC-AUTHZ-CACHE-ISOLATION
Запись проверяет учёт прав кэшами; вариант — внутренний кэш сериализатора по каждому формату ответа
Паттерн: Поля, скрытые по правам, не попадают в ответ из кэша, заполненного другим пользователем</t>
  </si>
  <si>
    <t>componentsCache… keyed on $context['cache_key']… reused for a subsequent request whose user has a different set of accessible properties</t>
  </si>
  <si>
    <t>Кэш не учитывает права — SEC-AUTHZ-CACHE-ISOLATION; кэш сериализатора — вариант</t>
  </si>
  <si>
    <t>M16</t>
  </si>
  <si>
    <t>GHSA-3pjw-73gf-8qr5</t>
  </si>
  <si>
    <t>extends → REST-MASS-ASSIGNMENT
Обход исключения поля через имя после стратегии именования
Паттерн: Игнорируемое при записи поле не принимается под переименованным ключом</t>
  </si>
  <si>
    <t>@JsonIgnore on a Record property is bypassed with a PropertyNamingStrategy… a role/flag controlled by an untrusted client</t>
  </si>
  <si>
    <t>Mass assignment защищённого поля под переименованным ключом — вариант из бага</t>
  </si>
  <si>
    <t>M17</t>
  </si>
  <si>
    <t>GHSA-2mw5-23gm-pccq</t>
  </si>
  <si>
    <t>covered → INJ-OS-COMMAND
Классическая инъекция команд через параметры
Паттерн: Параметры, попадающие в shell-скрипт задачи, не исполняют метасимволы</t>
  </si>
  <si>
    <t>workflow parameters were interpolated directly into shell program text executed through sh -c</t>
  </si>
  <si>
    <t>Классическая инъекция команд; covered верно</t>
  </si>
  <si>
    <t>M18</t>
  </si>
  <si>
    <t>GHSA-hf8h-97gm-4x2p</t>
  </si>
  <si>
    <t>extends → INJ-PATH-TRAVERSAL
Путь вне каталога; вариант — не чтение файла, а оракул существования
Паттерн: Параметр пути ограничен рабочим каталогом и не раскрывает существование файлов</t>
  </si>
  <si>
    <t>takes a path from the request body and passes it to a filesystem existence check with no validation… The response distinguishes paths that exist</t>
  </si>
  <si>
    <t>Обход каталогов, вариант — оракул существования; из бага</t>
  </si>
  <si>
    <t>M19</t>
  </si>
  <si>
    <t>GHSA-wg2f-x2c2-c4rp</t>
  </si>
  <si>
    <t>extends → REST-OPEN-REDIRECT
Открытый редирект; вариант — адрес возврата из заголовка Referer, сохранённый в сессии
Паттерн: Редирект «назад» после операции не ведёт на внешний адрес из Referer</t>
  </si>
  <si>
    <t>the previous URL is derived from the attacker-controlled Referer header… redirected to an external attacker-controlled site</t>
  </si>
  <si>
    <t>Open redirect, вариант — адрес из Referer</t>
  </si>
  <si>
    <t>M20</t>
  </si>
  <si>
    <t>GHSA-65cv-w493-7vhq</t>
  </si>
  <si>
    <t>extends → SEC-OWNERSHIP-REFERENCE-INDIRECT
Косвенная ссылка на закрытый объект; вариант — выпуск публичной ссылки доступа к нему
Паттерн: Публичную ссылку на объект может создать только пользователь с правом его просмотра</t>
  </si>
  <si>
    <t>Any authenticated administration user could call the generate action for any page… including content… they have no VIEW rights on. The endpoint returns a public render URL</t>
  </si>
  <si>
    <t>Публичная ссылка-токен на объект без права просмотра — косвенная ссылка в обход прав; подходит</t>
  </si>
  <si>
    <t>M21</t>
  </si>
  <si>
    <t>GHSA-32r8-5843-4qw2</t>
  </si>
  <si>
    <t>extends → AUTH-TOKEN-TYPE-CONFUSION
Путаница типов токена; вариант — токен ссылки-доступа принимается за пользовательский из-за совпадения числового ID
Паттерн: Принципал ссылки-доступа не принимается за пользователя с тем же числовым ID</t>
  </si>
  <si>
    <t>A link-share's GetID() returns the raw positive share.ID… treated as the user whose users.id == N at three permission checks</t>
  </si>
  <si>
    <t>AUTH-TOKEN-TYPE-CONFUSION — чужой тип токена принимается как access-токен. В баге токен ссылки принимается законно, а путаются типы принципала в проверках прав по числовому ID. Близко, но механизм — авторизация, а не приём токена</t>
  </si>
  <si>
    <t>M22</t>
  </si>
  <si>
    <t>GHSA-cp4q-fqw9-4hf6</t>
  </si>
  <si>
    <t>extends → HTTP-HEADER-SIZE-LIMIT
Обход лимита заголовков через CONTINUATION-фреймы HTTP/2
Паттерн: Поток CONTINUATION-фреймов HTTP/2 ограничен лимитом размера заголовков</t>
  </si>
  <si>
    <t>HEADERS… without the END_HEADERS flag… CONTINUATION frames. These accumulate unbounded</t>
  </si>
  <si>
    <t>Лимит размера заголовков, вариант HTTP/2 CONTINUATION</t>
  </si>
  <si>
    <t>M23</t>
  </si>
  <si>
    <t>GHSA-pg57-6jwg-q645</t>
  </si>
  <si>
    <t>extends → HARD-EXPENSIVE-OPERATION-LIMITS
Дорогая операция без лимита; вариант — граф ссылок внешнего объекта
Паттерн: Обход графа ссылок во внешнем объекте ограничен по глубине и ширине</t>
  </si>
  <si>
    <t>deeply nested or heavily fanned-out descriptor graphs can cause unbounded CPU and memory consumption… lack sufficient depth and breadth limits</t>
  </si>
  <si>
    <t>HARD-EXPENSIVE-OPERATION-LIMITS, вариант из бага</t>
  </si>
  <si>
    <t>M24</t>
  </si>
  <si>
    <t>GHSA-vq6j-hj8w-7v39</t>
  </si>
  <si>
    <t>covered → SEC-AUTHZ-FUNCTION
Пользователь без права вызывает операцию — ровно проверка записи
Паттерн: Обычный пользователь не может вызывать административные операции редактора</t>
  </si>
  <si>
    <t>the route under /admin/demographics/questions renders the editor interface without checking whether the caller is an admin</t>
  </si>
  <si>
    <t>Пользователь без права вызывает операцию — covered верно</t>
  </si>
  <si>
    <t>M25</t>
  </si>
  <si>
    <t>GHSA-j8pm-gj4c-rq4x</t>
  </si>
  <si>
    <t>covered → INJ-REDOS
Рендеринг Markdown пользователя с квадратичным разбором уже есть в записи
Паттерн: Рендеринг Markdown не имеет сверхлинейной сложности на однострочном вводе</t>
  </si>
  <si>
    <t>super-linear work on three independent parsing paths… Fenced code block detection… /^[ \t]*(?:`{3,}(?!.*`)|~{3,})/</t>
  </si>
  <si>
    <t>Один из путей — regex с backtracking; шаг про рендеринг Markdown в INJ-REDOS уже есть — covered верно. Сама запись смешивает regex и не-regex шаги (см. правило «механизм»)</t>
  </si>
  <si>
    <t>M26</t>
  </si>
  <si>
    <t>GHSA-4p3g-4hcj-wpvx</t>
  </si>
  <si>
    <t>extends → INJ-SSRF-PARAMETERS
SSRF через параметр с хостом; вариант — хост внедряется в шаблон URL, и обход идёт через разделители URL, а не через внутренний адрес
Паттерн: Параметр-хост, подставляемый в исходящий URL, принимает только имя хоста и порт</t>
  </si>
  <si>
    <t>user-supplied parameters that are interpolated into outbound request URLs. Without proper input validation… send HTTP requests to unintended destinations</t>
  </si>
  <si>
    <t>SSRF через параметр — INJ-SSRF-PARAMETERS; вариант «хост в шаблоне URL» — из бага, детали обхода разделителями — небольшое расширение</t>
  </si>
  <si>
    <t>M27</t>
  </si>
  <si>
    <t>directus/directus#24011</t>
  </si>
  <si>
    <t>covered → SEC-AUTHZ-ROLE-POSITIVE-MATRIX
Запись проверяет ровно это: разрешённая операция работает не только у администратора
Паттерн: Изменение работает для роли с правом через политику доступа</t>
  </si>
  <si>
    <t>PATCH operations fail for non-administrator users even when proper Access Policies are configured</t>
  </si>
  <si>
    <t>Позитивный баг на позитивной записи SEC-AUTHZ-ROLE-POSITIVE-MATRIX — направление верное</t>
  </si>
  <si>
    <t>M28</t>
  </si>
  <si>
    <t>GHSA-8j3g-f24p-4mpw</t>
  </si>
  <si>
    <t>extends → HTTP-HEADER-SIZE-LIMIT
Запись — про большие заголовки HTTP; вариант — бесконечный поток заголовков при рукопожатии WebSocket
Паттерн: Бесконечный поток заголовков рукопожатия WebSocket прерывается по лимиту</t>
  </si>
  <si>
    <t>sending an HTTP request or response with a never-ending list of headers… limiting the total size… to 32 kB</t>
  </si>
  <si>
    <t>Лимит заголовков, вариант — рукопожатие WebSocket</t>
  </si>
  <si>
    <t>M29</t>
  </si>
  <si>
    <t>GHSA-h6w7-xxcf-w2mq</t>
  </si>
  <si>
    <t>extends → SEC-OWNERSHIP-REFERENCE-INDIRECT
Косвенная ссылка; вариант — встроенное содержимое
Паттерн: Встроенное содержимое недоступных объектов не возвращается</t>
  </si>
  <si>
    <t>blocks pulled in by that block's embed (transclusion) query are inlined into the returned DOM with no publish-access check</t>
  </si>
  <si>
    <t>Встроенное содержимое в обход прав — SEC-OWNERSHIP-REFERENCE-INDIRECT</t>
  </si>
  <si>
    <t>M30</t>
  </si>
  <si>
    <t>GHSA-9fxm-vc8v-hj55</t>
  </si>
  <si>
    <t>covered → REST-READONLY-WRITEONLY
readOnly-поле записывается из запроса
Паттерн: Поле только для чтения не записывается, если прислать его под публичным именем</t>
  </si>
  <si>
    <t>a renamed getter with an ignored setter (a read-only-over-the-wire pattern) have that field silently set from attacker input</t>
  </si>
  <si>
    <t>Запись поля только для чтения — REST-READONLY-WRITEONLY; под публичным (переименованным) именем — это и есть базовая проверка, covered допустим</t>
  </si>
  <si>
    <t>M31</t>
  </si>
  <si>
    <t>GHSA-cp65-5m9r-vc2c</t>
  </si>
  <si>
    <t>covered → INJ-PATH-TRAVERSAL
Классический обход каталогов через параметр файла
Паттерн: Параметр имени файла при скачивании не позволяет выйти из каталога</t>
  </si>
  <si>
    <t>download_private_file?file=../../../../../../etc/passwd</t>
  </si>
  <si>
    <t>Классический обход каталогов; covered верно</t>
  </si>
  <si>
    <t>M32</t>
  </si>
  <si>
    <t>GHSA-x76w-6vjr-8xgj</t>
  </si>
  <si>
    <t>extends → INJ-REDOS
Новый вход — служебная фильтрация параметров для логов, а не бизнес-валидация
Паттерн: Фильтрация чувствительных параметров не вызывает ReDoS</t>
  </si>
  <si>
    <t>Carefully crafted query parameters can cause query parameter filtering to take an unexpected amount of time</t>
  </si>
  <si>
    <t>ReDoS (regex по CVE) в фильтрации параметров — вариант входа</t>
  </si>
  <si>
    <t>M33</t>
  </si>
  <si>
    <t>GHSA-fq2p-5p22-8g6j</t>
  </si>
  <si>
    <t>extends → SEC-SCOPE-MISSING
Ограничение токена не применено; вариант — ограничение «только публичное» обходится через списки, хотя прямой доступ закрыт
Паттерн: Токен с ограничением «только публичные ресурсы» не получает приватные данные через списки и смежные эндпоинты</t>
  </si>
  <si>
    <t>A personal access token restricted with the public-only scope can still retrieve private organization membership… through organization-listing endpoints</t>
  </si>
  <si>
    <t>Ограничение токена не применено на части эндпоинтов — SEC-SCOPE-MISSING, вариант</t>
  </si>
  <si>
    <t>M34</t>
  </si>
  <si>
    <t>GHSA-qpgp-93vx-g8v8</t>
  </si>
  <si>
    <t>extends → HARD-SLOW-CLIENT-LIMITS
Неполный запрос на уровне префикса PROXY protocol, до HTTP
Паттерн: Строка PROXY protocol без CRLF не накапливается без ограничения</t>
  </si>
  <si>
    <t>continuously sends bytes without CRLF, Puma keeps appending to this pre-parse buffer</t>
  </si>
  <si>
    <t>Неполный запрос копится без лимита — HARD-SLOW-CLIENT-LIMITS, вариант PROXY protocol</t>
  </si>
  <si>
    <t>M35</t>
  </si>
  <si>
    <t>GHSA-2x79-gwq3-vxxm</t>
  </si>
  <si>
    <t>extends → HARD-EXPENSIVE-OPERATION-LIMITS
Разбор без регулярных выражений с бесконечным циклом — по правилу механизма
Паттерн: Некорректный JSON с буквой на месте значения быстро отклоняется</t>
  </si>
  <si>
    <t>fio_json_parse can enter an infinite loop when it encounters a nested JSON value starting with i or I… The smallest reproducer found is [i</t>
  </si>
  <si>
    <t>По правилу «механизм»: бесконечный цикл парсера — HARD-EXPENSIVE-OPERATION-LIMITS. Можно было бы и VAL-MALFORMED-JSON (паттерн — «некорректный JSON быстро отклоняется»), но выбор соответствует промпту</t>
  </si>
  <si>
    <t>M36</t>
  </si>
  <si>
    <t>GHSA-rw77-vq4g-x3hp</t>
  </si>
  <si>
    <t>covered → INJ-SQL
Базовая инъекция в значение тела запроса
Паттерн: Значение при создании справочной записи не позволяет SQL-инъекцию</t>
  </si>
  <si>
    <t>builds a SQL INSERT statement using sprintf()… without calling the application's database escaping function</t>
  </si>
  <si>
    <t>SQL-инъекция в значении; covered верно</t>
  </si>
  <si>
    <t>M37</t>
  </si>
  <si>
    <t>GHSA-fmgp-q6jx-gg3x</t>
  </si>
  <si>
    <t>extends → HARD-UNSAFE-API-CONSUMPTION
Данные из внешнего источника используются без ограничений
Паттерн: Содержимое внешнего репозитория по ссылке из ресурса читается с лимитом и без перехода по символьным ссылкам</t>
  </si>
  <si>
    <t>a variables.tf symlink that resolves to /dev/zero… vela-core follows the symlink and calls os.ReadFile</t>
  </si>
  <si>
    <t>Содержимое внешнего источника без ограничений — HARD-UNSAFE-API-CONSUMPTION; подходит</t>
  </si>
  <si>
    <t>M38</t>
  </si>
  <si>
    <t>GHSA-2x9c-vp3g-hvv2</t>
  </si>
  <si>
    <t>covered → AUTH-CSRF
Изменяющая операция доступна без CSRF-защиты
Паттерн: Действие с побочным эффектом не выполняется GET-запросом без защиты от CSRF</t>
  </si>
  <si>
    <t>these HTTP endpoints do not require POST requests, resulting in a cross-site request forgery (CSRF) vulnerability</t>
  </si>
  <si>
    <t>Паттерн про CSRF/GET — AUTH-CSRF, covered верно. Вторая половина бага (нет проверки прав Overall/Read) в паттерн не попала</t>
  </si>
  <si>
    <t>M39</t>
  </si>
  <si>
    <t>GHSA-5pg6-m483-7vrg</t>
  </si>
  <si>
    <t>extends → SEC-OWNERSHIP-UPDATE
Права проверяются по контейнеру из пути, а не по объекту из тела
Паттерн: ID объекта в теле операции над своим контейнером проверяется на права</t>
  </si>
  <si>
    <t>authorization check… only verifies that the caller may update the project/view/bucket named in the URL — it never checks any permission on task_id</t>
  </si>
  <si>
    <t>IDOR по ID из тела — SEC-OWNERSHIP-UPDATE, вариант</t>
  </si>
  <si>
    <t>M40</t>
  </si>
  <si>
    <t>GHSA-mhwm-jh88-3gjf</t>
  </si>
  <si>
    <t>extends → INJ-REDOS
Полезная нагрузка — повтор незакрытых открывающих тегов для регулярки экранирования HTML
Паттерн: Ввод с множеством незакрытых тегов не вызывает катастрофического backtracking при экранировании</t>
  </si>
  <si>
    <t>The regular expression used in CGI::Util#escapeElement is vulnerable to ReDoS</t>
  </si>
  <si>
    <t>Regex — INJ-REDOS верно; полезная нагрузка (незакрытые теги) из фикса правдоподобна</t>
  </si>
  <si>
    <t>Строк</t>
  </si>
  <si>
    <t>Человек: да</t>
  </si>
  <si>
    <t>Человек: нет</t>
  </si>
  <si>
    <t>Человек: не знаю</t>
  </si>
  <si>
    <t>Claude: совпадает</t>
  </si>
  <si>
    <t>Claude: сомнение</t>
  </si>
  <si>
    <t>Claude: не совпадает</t>
  </si>
  <si>
    <t>Верно, % (человек, иначе Claude; «не знаю» = Claude; сомнения не в расчёте)</t>
  </si>
  <si>
    <t>Триаж</t>
  </si>
  <si>
    <t>Цель — не меньше 85 % в каждом разделе (ADR 0005).</t>
  </si>
  <si>
    <t>нет</t>
  </si>
  <si>
    <t>Я вижу тут два похожих сценария, но для разных действий. 1 - управление вторым фактором (отключение второго фактора) принимает ранее выданныцй код, хотя логично запросить новый код. 2 - включение многофакторной аутентификации без повторной авторизации паролем, а на основе приложения, что дает возможность угона пароля.</t>
  </si>
  <si>
    <t>да</t>
  </si>
  <si>
    <t>Да, два разных сценария, хоть и похожих</t>
  </si>
  <si>
    <t>и хорошие кейсы: 1 - отправлять на сервер запрос с большим количеством ключей на первом уровне. 2 - тоже но с большой вложенностью и сиксом из просто значений и масивов, а также с большой вложенностью массивов. Если сервер разбирает все передаваемые ключи, а не только те что он ждет - потенциально можно сильно нагрузить сервер. Для экономии траффика и большей нагрузки на сервер - использовать минимальные длины имен ключей  и значений.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</si>
</sst>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rgb="FF0563C1"/>
      <name val="Calibri"/>
    </font>
    <font>
      <b/>
      <sz val="12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0" borderId="0" xfId="0" applyFont="1"/>
    <xf numFmtId="0" fontId="1" fillId="2" borderId="0" xfId="0" applyFont="1" applyFill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3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irectus/directus/issues/24239" TargetMode="External"/><Relationship Id="rId13" Type="http://schemas.openxmlformats.org/officeDocument/2006/relationships/hyperlink" Target="https://github.com/advisories/GHSA-qq9q-x9w4-chhj" TargetMode="External"/><Relationship Id="rId18" Type="http://schemas.openxmlformats.org/officeDocument/2006/relationships/hyperlink" Target="https://github.com/advisories/GHSA-hf8h-97gm-4x2p" TargetMode="External"/><Relationship Id="rId26" Type="http://schemas.openxmlformats.org/officeDocument/2006/relationships/hyperlink" Target="https://github.com/advisories/GHSA-4p3g-4hcj-wpvx" TargetMode="External"/><Relationship Id="rId39" Type="http://schemas.openxmlformats.org/officeDocument/2006/relationships/hyperlink" Target="https://github.com/advisories/GHSA-5pg6-m483-7vrg" TargetMode="External"/><Relationship Id="rId3" Type="http://schemas.openxmlformats.org/officeDocument/2006/relationships/hyperlink" Target="https://github.com/advisories/GHSA-vx2m-jpxr-xv7w" TargetMode="External"/><Relationship Id="rId21" Type="http://schemas.openxmlformats.org/officeDocument/2006/relationships/hyperlink" Target="https://github.com/advisories/GHSA-32r8-5843-4qw2" TargetMode="External"/><Relationship Id="rId34" Type="http://schemas.openxmlformats.org/officeDocument/2006/relationships/hyperlink" Target="https://github.com/advisories/GHSA-qpgp-93vx-g8v8" TargetMode="External"/><Relationship Id="rId7" Type="http://schemas.openxmlformats.org/officeDocument/2006/relationships/hyperlink" Target="https://github.com/advisories/GHSA-45gv-9wjv-xh7p" TargetMode="External"/><Relationship Id="rId12" Type="http://schemas.openxmlformats.org/officeDocument/2006/relationships/hyperlink" Target="https://github.com/advisories/GHSA-3h96-34p3-xm76" TargetMode="External"/><Relationship Id="rId17" Type="http://schemas.openxmlformats.org/officeDocument/2006/relationships/hyperlink" Target="https://github.com/advisories/GHSA-2mw5-23gm-pccq" TargetMode="External"/><Relationship Id="rId25" Type="http://schemas.openxmlformats.org/officeDocument/2006/relationships/hyperlink" Target="https://github.com/advisories/GHSA-j8pm-gj4c-rq4x" TargetMode="External"/><Relationship Id="rId33" Type="http://schemas.openxmlformats.org/officeDocument/2006/relationships/hyperlink" Target="https://github.com/advisories/GHSA-fq2p-5p22-8g6j" TargetMode="External"/><Relationship Id="rId38" Type="http://schemas.openxmlformats.org/officeDocument/2006/relationships/hyperlink" Target="https://github.com/advisories/GHSA-2x9c-vp3g-hvv2" TargetMode="External"/><Relationship Id="rId2" Type="http://schemas.openxmlformats.org/officeDocument/2006/relationships/hyperlink" Target="https://github.com/supabase/auth/issues/1365" TargetMode="External"/><Relationship Id="rId16" Type="http://schemas.openxmlformats.org/officeDocument/2006/relationships/hyperlink" Target="https://github.com/advisories/GHSA-3pjw-73gf-8qr5" TargetMode="External"/><Relationship Id="rId20" Type="http://schemas.openxmlformats.org/officeDocument/2006/relationships/hyperlink" Target="https://github.com/advisories/GHSA-65cv-w493-7vhq" TargetMode="External"/><Relationship Id="rId29" Type="http://schemas.openxmlformats.org/officeDocument/2006/relationships/hyperlink" Target="https://github.com/advisories/GHSA-h6w7-xxcf-w2mq" TargetMode="External"/><Relationship Id="rId1" Type="http://schemas.openxmlformats.org/officeDocument/2006/relationships/hyperlink" Target="https://github.com/advisories/GHSA-85g9-8j9g-p486" TargetMode="External"/><Relationship Id="rId6" Type="http://schemas.openxmlformats.org/officeDocument/2006/relationships/hyperlink" Target="https://github.com/advisories/GHSA-f27p-pw2p-9pr4" TargetMode="External"/><Relationship Id="rId11" Type="http://schemas.openxmlformats.org/officeDocument/2006/relationships/hyperlink" Target="https://github.com/advisories/GHSA-7m6h-rg42-m449" TargetMode="External"/><Relationship Id="rId24" Type="http://schemas.openxmlformats.org/officeDocument/2006/relationships/hyperlink" Target="https://github.com/advisories/GHSA-vq6j-hj8w-7v39" TargetMode="External"/><Relationship Id="rId32" Type="http://schemas.openxmlformats.org/officeDocument/2006/relationships/hyperlink" Target="https://github.com/advisories/GHSA-x76w-6vjr-8xgj" TargetMode="External"/><Relationship Id="rId37" Type="http://schemas.openxmlformats.org/officeDocument/2006/relationships/hyperlink" Target="https://github.com/advisories/GHSA-fmgp-q6jx-gg3x" TargetMode="External"/><Relationship Id="rId40" Type="http://schemas.openxmlformats.org/officeDocument/2006/relationships/hyperlink" Target="https://github.com/advisories/GHSA-mhwm-jh88-3gjf" TargetMode="External"/><Relationship Id="rId5" Type="http://schemas.openxmlformats.org/officeDocument/2006/relationships/hyperlink" Target="https://github.com/advisories/GHSA-x487-866m-p8hr" TargetMode="External"/><Relationship Id="rId15" Type="http://schemas.openxmlformats.org/officeDocument/2006/relationships/hyperlink" Target="https://github.com/advisories/GHSA-pjhx-3c3w-9v23" TargetMode="External"/><Relationship Id="rId23" Type="http://schemas.openxmlformats.org/officeDocument/2006/relationships/hyperlink" Target="https://github.com/advisories/GHSA-pg57-6jwg-q645" TargetMode="External"/><Relationship Id="rId28" Type="http://schemas.openxmlformats.org/officeDocument/2006/relationships/hyperlink" Target="https://github.com/advisories/GHSA-8j3g-f24p-4mpw" TargetMode="External"/><Relationship Id="rId36" Type="http://schemas.openxmlformats.org/officeDocument/2006/relationships/hyperlink" Target="https://github.com/advisories/GHSA-rw77-vq4g-x3hp" TargetMode="External"/><Relationship Id="rId10" Type="http://schemas.openxmlformats.org/officeDocument/2006/relationships/hyperlink" Target="https://github.com/advisories/GHSA-jvh5-97xg-v99f" TargetMode="External"/><Relationship Id="rId19" Type="http://schemas.openxmlformats.org/officeDocument/2006/relationships/hyperlink" Target="https://github.com/advisories/GHSA-wg2f-x2c2-c4rp" TargetMode="External"/><Relationship Id="rId31" Type="http://schemas.openxmlformats.org/officeDocument/2006/relationships/hyperlink" Target="https://github.com/advisories/GHSA-cp65-5m9r-vc2c" TargetMode="External"/><Relationship Id="rId4" Type="http://schemas.openxmlformats.org/officeDocument/2006/relationships/hyperlink" Target="https://github.com/advisories/GHSA-87mg-5grr-rhwh" TargetMode="External"/><Relationship Id="rId9" Type="http://schemas.openxmlformats.org/officeDocument/2006/relationships/hyperlink" Target="https://github.com/advisories/GHSA-43cq-c2gq-pfpw" TargetMode="External"/><Relationship Id="rId14" Type="http://schemas.openxmlformats.org/officeDocument/2006/relationships/hyperlink" Target="https://github.com/apollographql/apollo-server/issues/3253" TargetMode="External"/><Relationship Id="rId22" Type="http://schemas.openxmlformats.org/officeDocument/2006/relationships/hyperlink" Target="https://github.com/advisories/GHSA-cp4q-fqw9-4hf6" TargetMode="External"/><Relationship Id="rId27" Type="http://schemas.openxmlformats.org/officeDocument/2006/relationships/hyperlink" Target="https://github.com/directus/directus/issues/24011" TargetMode="External"/><Relationship Id="rId30" Type="http://schemas.openxmlformats.org/officeDocument/2006/relationships/hyperlink" Target="https://github.com/advisories/GHSA-9fxm-vc8v-hj55" TargetMode="External"/><Relationship Id="rId35" Type="http://schemas.openxmlformats.org/officeDocument/2006/relationships/hyperlink" Target="https://github.com/advisories/GHSA-2x79-gwq3-vxx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5"/>
  <sheetViews>
    <sheetView workbookViewId="0"/>
  </sheetViews>
  <sheetFormatPr defaultRowHeight="15" x14ac:dyDescent="0.25"/>
  <cols>
    <col min="1" max="1" width="140" customWidth="1"/>
  </cols>
  <sheetData>
    <row r="1" spans="1:1" ht="15.75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8" spans="1:1" ht="15.75" x14ac:dyDescent="0.25">
      <c r="A8" s="1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4" spans="1:1" x14ac:dyDescent="0.25">
      <c r="A14" t="s">
        <v>11</v>
      </c>
    </row>
    <row r="15" spans="1:1" x14ac:dyDescent="0.25">
      <c r="A15" t="s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1"/>
  <sheetViews>
    <sheetView tabSelected="1" zoomScale="145" zoomScaleNormal="145" workbookViewId="0">
      <pane xSplit="3" ySplit="1" topLeftCell="D2" activePane="bottomRight" state="frozen"/>
      <selection pane="topRight"/>
      <selection pane="bottomLeft"/>
      <selection pane="bottomRight" activeCell="L25" sqref="L25"/>
    </sheetView>
  </sheetViews>
  <sheetFormatPr defaultRowHeight="15" x14ac:dyDescent="0.25"/>
  <cols>
    <col min="1" max="1" width="6" customWidth="1"/>
    <col min="2" max="2" width="12" customWidth="1"/>
    <col min="3" max="3" width="26" customWidth="1"/>
    <col min="4" max="4" width="12" customWidth="1"/>
    <col min="5" max="5" width="22" customWidth="1"/>
    <col min="6" max="6" width="50" customWidth="1"/>
    <col min="7" max="7" width="60" customWidth="1"/>
    <col min="8" max="8" width="14" customWidth="1"/>
    <col min="9" max="9" width="50" customWidth="1"/>
    <col min="10" max="10" width="13" customWidth="1"/>
    <col min="11" max="11" width="14" customWidth="1"/>
    <col min="12" max="12" width="50" customWidth="1"/>
  </cols>
  <sheetData>
    <row r="1" spans="1:12" x14ac:dyDescent="0.25">
      <c r="A1" s="2" t="s">
        <v>13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24</v>
      </c>
    </row>
    <row r="2" spans="1:12" ht="75" x14ac:dyDescent="0.25">
      <c r="A2" s="3" t="s">
        <v>25</v>
      </c>
      <c r="B2" s="3" t="s">
        <v>26</v>
      </c>
      <c r="C2" s="4" t="s">
        <v>27</v>
      </c>
      <c r="D2" s="3" t="s">
        <v>28</v>
      </c>
      <c r="E2" s="3" t="s">
        <v>29</v>
      </c>
      <c r="F2" s="3" t="s">
        <v>30</v>
      </c>
      <c r="G2" s="3" t="s">
        <v>31</v>
      </c>
      <c r="H2" s="5" t="s">
        <v>32</v>
      </c>
      <c r="I2" s="3" t="s">
        <v>33</v>
      </c>
      <c r="J2" s="3"/>
      <c r="K2" s="6"/>
      <c r="L2" s="7"/>
    </row>
    <row r="3" spans="1:12" ht="75" x14ac:dyDescent="0.25">
      <c r="A3" s="3" t="s">
        <v>34</v>
      </c>
      <c r="B3" s="3" t="s">
        <v>26</v>
      </c>
      <c r="C3" s="4" t="s">
        <v>35</v>
      </c>
      <c r="D3" s="3" t="s">
        <v>36</v>
      </c>
      <c r="E3" s="3" t="s">
        <v>29</v>
      </c>
      <c r="F3" s="3" t="s">
        <v>37</v>
      </c>
      <c r="G3" s="3" t="s">
        <v>38</v>
      </c>
      <c r="H3" s="5" t="s">
        <v>32</v>
      </c>
      <c r="I3" s="3" t="s">
        <v>39</v>
      </c>
      <c r="J3" s="3"/>
      <c r="K3" s="6"/>
      <c r="L3" s="7"/>
    </row>
    <row r="4" spans="1:12" ht="75" x14ac:dyDescent="0.25">
      <c r="A4" s="3" t="s">
        <v>40</v>
      </c>
      <c r="B4" s="3" t="s">
        <v>26</v>
      </c>
      <c r="C4" s="4" t="s">
        <v>41</v>
      </c>
      <c r="D4" s="3" t="s">
        <v>42</v>
      </c>
      <c r="E4" s="3" t="s">
        <v>29</v>
      </c>
      <c r="F4" s="3" t="s">
        <v>43</v>
      </c>
      <c r="G4" s="3" t="s">
        <v>44</v>
      </c>
      <c r="H4" s="5" t="s">
        <v>32</v>
      </c>
      <c r="I4" s="3" t="s">
        <v>45</v>
      </c>
      <c r="J4" s="3"/>
      <c r="K4" s="6"/>
      <c r="L4" s="7"/>
    </row>
    <row r="5" spans="1:12" ht="60" x14ac:dyDescent="0.25">
      <c r="A5" s="3" t="s">
        <v>46</v>
      </c>
      <c r="B5" s="3" t="s">
        <v>26</v>
      </c>
      <c r="C5" s="4" t="s">
        <v>47</v>
      </c>
      <c r="D5" s="3" t="s">
        <v>48</v>
      </c>
      <c r="E5" s="3" t="s">
        <v>29</v>
      </c>
      <c r="F5" s="3" t="s">
        <v>49</v>
      </c>
      <c r="G5" s="3" t="s">
        <v>50</v>
      </c>
      <c r="H5" s="5" t="s">
        <v>32</v>
      </c>
      <c r="I5" s="3" t="s">
        <v>51</v>
      </c>
      <c r="J5" s="3" t="s">
        <v>52</v>
      </c>
      <c r="K5" s="6" t="s">
        <v>250</v>
      </c>
      <c r="L5" s="7"/>
    </row>
    <row r="6" spans="1:12" ht="60" x14ac:dyDescent="0.25">
      <c r="A6" s="3" t="s">
        <v>53</v>
      </c>
      <c r="B6" s="3" t="s">
        <v>26</v>
      </c>
      <c r="C6" s="4" t="s">
        <v>54</v>
      </c>
      <c r="D6" s="3" t="s">
        <v>55</v>
      </c>
      <c r="E6" s="3" t="s">
        <v>29</v>
      </c>
      <c r="F6" s="3" t="s">
        <v>56</v>
      </c>
      <c r="G6" s="3" t="s">
        <v>57</v>
      </c>
      <c r="H6" s="5" t="s">
        <v>32</v>
      </c>
      <c r="I6" s="3" t="s">
        <v>58</v>
      </c>
      <c r="J6" s="3" t="s">
        <v>52</v>
      </c>
      <c r="K6" s="6" t="s">
        <v>250</v>
      </c>
      <c r="L6" s="7"/>
    </row>
    <row r="7" spans="1:12" ht="75" x14ac:dyDescent="0.25">
      <c r="A7" s="3" t="s">
        <v>59</v>
      </c>
      <c r="B7" s="3" t="s">
        <v>26</v>
      </c>
      <c r="C7" s="4" t="s">
        <v>60</v>
      </c>
      <c r="D7" s="3" t="s">
        <v>42</v>
      </c>
      <c r="E7" s="3" t="s">
        <v>29</v>
      </c>
      <c r="F7" s="3" t="s">
        <v>61</v>
      </c>
      <c r="G7" s="3" t="s">
        <v>62</v>
      </c>
      <c r="H7" s="5" t="s">
        <v>32</v>
      </c>
      <c r="I7" s="3" t="s">
        <v>63</v>
      </c>
      <c r="J7" s="3"/>
      <c r="K7" s="6"/>
      <c r="L7" s="7"/>
    </row>
    <row r="8" spans="1:12" ht="75" x14ac:dyDescent="0.25">
      <c r="A8" s="3" t="s">
        <v>64</v>
      </c>
      <c r="B8" s="3" t="s">
        <v>26</v>
      </c>
      <c r="C8" s="4" t="s">
        <v>65</v>
      </c>
      <c r="D8" s="3" t="s">
        <v>42</v>
      </c>
      <c r="E8" s="3" t="s">
        <v>29</v>
      </c>
      <c r="F8" s="3" t="s">
        <v>66</v>
      </c>
      <c r="G8" s="3" t="s">
        <v>67</v>
      </c>
      <c r="H8" s="5" t="s">
        <v>32</v>
      </c>
      <c r="I8" s="3" t="s">
        <v>68</v>
      </c>
      <c r="J8" s="3" t="s">
        <v>52</v>
      </c>
      <c r="K8" s="6" t="s">
        <v>250</v>
      </c>
      <c r="L8" s="7"/>
    </row>
    <row r="9" spans="1:12" ht="75" x14ac:dyDescent="0.25">
      <c r="A9" s="3" t="s">
        <v>69</v>
      </c>
      <c r="B9" s="3" t="s">
        <v>26</v>
      </c>
      <c r="C9" s="4" t="s">
        <v>70</v>
      </c>
      <c r="D9" s="3" t="s">
        <v>71</v>
      </c>
      <c r="E9" s="3" t="s">
        <v>29</v>
      </c>
      <c r="F9" s="3" t="s">
        <v>72</v>
      </c>
      <c r="G9" s="3" t="s">
        <v>73</v>
      </c>
      <c r="H9" s="5" t="s">
        <v>32</v>
      </c>
      <c r="I9" s="3" t="s">
        <v>74</v>
      </c>
      <c r="J9" s="3"/>
      <c r="K9" s="6"/>
      <c r="L9" s="7"/>
    </row>
    <row r="10" spans="1:12" ht="75" x14ac:dyDescent="0.25">
      <c r="A10" s="3" t="s">
        <v>75</v>
      </c>
      <c r="B10" s="3" t="s">
        <v>26</v>
      </c>
      <c r="C10" s="4" t="s">
        <v>76</v>
      </c>
      <c r="D10" s="3" t="s">
        <v>48</v>
      </c>
      <c r="E10" s="3" t="s">
        <v>29</v>
      </c>
      <c r="F10" s="3" t="s">
        <v>77</v>
      </c>
      <c r="G10" s="3" t="s">
        <v>78</v>
      </c>
      <c r="H10" s="5" t="s">
        <v>32</v>
      </c>
      <c r="I10" s="3" t="s">
        <v>79</v>
      </c>
      <c r="J10" s="3"/>
      <c r="K10" s="6"/>
      <c r="L10" s="7"/>
    </row>
    <row r="11" spans="1:12" ht="75" x14ac:dyDescent="0.25">
      <c r="A11" s="3" t="s">
        <v>80</v>
      </c>
      <c r="B11" s="3" t="s">
        <v>26</v>
      </c>
      <c r="C11" s="4" t="s">
        <v>81</v>
      </c>
      <c r="D11" s="3" t="s">
        <v>42</v>
      </c>
      <c r="E11" s="3" t="s">
        <v>29</v>
      </c>
      <c r="F11" s="3" t="s">
        <v>82</v>
      </c>
      <c r="G11" s="3" t="s">
        <v>83</v>
      </c>
      <c r="H11" s="5" t="s">
        <v>32</v>
      </c>
      <c r="I11" s="3" t="s">
        <v>84</v>
      </c>
      <c r="J11" s="3" t="s">
        <v>52</v>
      </c>
      <c r="K11" s="6" t="s">
        <v>250</v>
      </c>
      <c r="L11" s="7"/>
    </row>
    <row r="12" spans="1:12" ht="105" x14ac:dyDescent="0.25">
      <c r="A12" s="3" t="s">
        <v>85</v>
      </c>
      <c r="B12" s="3" t="s">
        <v>26</v>
      </c>
      <c r="C12" s="4" t="s">
        <v>86</v>
      </c>
      <c r="D12" s="3" t="s">
        <v>48</v>
      </c>
      <c r="E12" s="3" t="s">
        <v>29</v>
      </c>
      <c r="F12" s="3" t="s">
        <v>87</v>
      </c>
      <c r="G12" s="3" t="s">
        <v>88</v>
      </c>
      <c r="H12" s="8" t="s">
        <v>89</v>
      </c>
      <c r="I12" s="3" t="s">
        <v>90</v>
      </c>
      <c r="J12" s="9" t="s">
        <v>91</v>
      </c>
      <c r="K12" s="6" t="s">
        <v>248</v>
      </c>
      <c r="L12" s="7" t="s">
        <v>249</v>
      </c>
    </row>
    <row r="13" spans="1:12" ht="75" x14ac:dyDescent="0.25">
      <c r="A13" s="3" t="s">
        <v>92</v>
      </c>
      <c r="B13" s="3" t="s">
        <v>26</v>
      </c>
      <c r="C13" s="4" t="s">
        <v>93</v>
      </c>
      <c r="D13" s="3" t="s">
        <v>55</v>
      </c>
      <c r="E13" s="3" t="s">
        <v>29</v>
      </c>
      <c r="F13" s="3" t="s">
        <v>94</v>
      </c>
      <c r="G13" s="3" t="s">
        <v>95</v>
      </c>
      <c r="H13" s="5" t="s">
        <v>32</v>
      </c>
      <c r="I13" s="3" t="s">
        <v>96</v>
      </c>
      <c r="J13" s="3"/>
      <c r="K13" s="6"/>
      <c r="L13" s="7"/>
    </row>
    <row r="14" spans="1:12" ht="60" x14ac:dyDescent="0.25">
      <c r="A14" s="3" t="s">
        <v>97</v>
      </c>
      <c r="B14" s="3" t="s">
        <v>26</v>
      </c>
      <c r="C14" s="4" t="s">
        <v>98</v>
      </c>
      <c r="D14" s="3" t="s">
        <v>42</v>
      </c>
      <c r="E14" s="3" t="s">
        <v>29</v>
      </c>
      <c r="F14" s="3" t="s">
        <v>99</v>
      </c>
      <c r="G14" s="3" t="s">
        <v>100</v>
      </c>
      <c r="H14" s="5" t="s">
        <v>32</v>
      </c>
      <c r="I14" s="3" t="s">
        <v>101</v>
      </c>
      <c r="J14" s="3"/>
      <c r="K14" s="6"/>
      <c r="L14" s="7"/>
    </row>
    <row r="15" spans="1:12" ht="105" x14ac:dyDescent="0.25">
      <c r="A15" s="3" t="s">
        <v>102</v>
      </c>
      <c r="B15" s="3" t="s">
        <v>26</v>
      </c>
      <c r="C15" s="4" t="s">
        <v>103</v>
      </c>
      <c r="D15" s="3" t="s">
        <v>104</v>
      </c>
      <c r="E15" s="3" t="s">
        <v>29</v>
      </c>
      <c r="F15" s="3" t="s">
        <v>105</v>
      </c>
      <c r="G15" s="3" t="s">
        <v>106</v>
      </c>
      <c r="H15" s="5" t="s">
        <v>32</v>
      </c>
      <c r="I15" s="3" t="s">
        <v>107</v>
      </c>
      <c r="J15" s="3"/>
      <c r="K15" s="6"/>
      <c r="L15" s="7"/>
    </row>
    <row r="16" spans="1:12" ht="105" x14ac:dyDescent="0.25">
      <c r="A16" s="3" t="s">
        <v>108</v>
      </c>
      <c r="B16" s="3" t="s">
        <v>26</v>
      </c>
      <c r="C16" s="4" t="s">
        <v>109</v>
      </c>
      <c r="D16" s="3" t="s">
        <v>48</v>
      </c>
      <c r="E16" s="3" t="s">
        <v>29</v>
      </c>
      <c r="F16" s="3" t="s">
        <v>110</v>
      </c>
      <c r="G16" s="3" t="s">
        <v>111</v>
      </c>
      <c r="H16" s="5" t="s">
        <v>32</v>
      </c>
      <c r="I16" s="3" t="s">
        <v>112</v>
      </c>
      <c r="J16" s="3"/>
      <c r="K16" s="6"/>
      <c r="L16" s="7"/>
    </row>
    <row r="17" spans="1:12" ht="75" x14ac:dyDescent="0.25">
      <c r="A17" s="3" t="s">
        <v>113</v>
      </c>
      <c r="B17" s="3" t="s">
        <v>26</v>
      </c>
      <c r="C17" s="4" t="s">
        <v>114</v>
      </c>
      <c r="D17" s="3" t="s">
        <v>28</v>
      </c>
      <c r="E17" s="3" t="s">
        <v>29</v>
      </c>
      <c r="F17" s="3" t="s">
        <v>115</v>
      </c>
      <c r="G17" s="3" t="s">
        <v>116</v>
      </c>
      <c r="H17" s="5" t="s">
        <v>32</v>
      </c>
      <c r="I17" s="3" t="s">
        <v>117</v>
      </c>
      <c r="J17" s="3"/>
      <c r="K17" s="6"/>
      <c r="L17" s="7"/>
    </row>
    <row r="18" spans="1:12" ht="60" x14ac:dyDescent="0.25">
      <c r="A18" s="3" t="s">
        <v>118</v>
      </c>
      <c r="B18" s="3" t="s">
        <v>26</v>
      </c>
      <c r="C18" s="4" t="s">
        <v>119</v>
      </c>
      <c r="D18" s="3" t="s">
        <v>42</v>
      </c>
      <c r="E18" s="3" t="s">
        <v>29</v>
      </c>
      <c r="F18" s="3" t="s">
        <v>120</v>
      </c>
      <c r="G18" s="3" t="s">
        <v>121</v>
      </c>
      <c r="H18" s="5" t="s">
        <v>32</v>
      </c>
      <c r="I18" s="3" t="s">
        <v>122</v>
      </c>
      <c r="J18" s="3"/>
      <c r="K18" s="6"/>
      <c r="L18" s="7"/>
    </row>
    <row r="19" spans="1:12" ht="75" x14ac:dyDescent="0.25">
      <c r="A19" s="3" t="s">
        <v>123</v>
      </c>
      <c r="B19" s="3" t="s">
        <v>26</v>
      </c>
      <c r="C19" s="4" t="s">
        <v>124</v>
      </c>
      <c r="D19" s="3" t="s">
        <v>42</v>
      </c>
      <c r="E19" s="3" t="s">
        <v>29</v>
      </c>
      <c r="F19" s="3" t="s">
        <v>125</v>
      </c>
      <c r="G19" s="3" t="s">
        <v>126</v>
      </c>
      <c r="H19" s="5" t="s">
        <v>32</v>
      </c>
      <c r="I19" s="3" t="s">
        <v>127</v>
      </c>
      <c r="J19" s="3"/>
      <c r="K19" s="6"/>
      <c r="L19" s="7"/>
    </row>
    <row r="20" spans="1:12" ht="75" x14ac:dyDescent="0.25">
      <c r="A20" s="3" t="s">
        <v>128</v>
      </c>
      <c r="B20" s="3" t="s">
        <v>26</v>
      </c>
      <c r="C20" s="4" t="s">
        <v>129</v>
      </c>
      <c r="D20" s="3" t="s">
        <v>48</v>
      </c>
      <c r="E20" s="3" t="s">
        <v>29</v>
      </c>
      <c r="F20" s="3" t="s">
        <v>130</v>
      </c>
      <c r="G20" s="3" t="s">
        <v>131</v>
      </c>
      <c r="H20" s="5" t="s">
        <v>32</v>
      </c>
      <c r="I20" s="3" t="s">
        <v>132</v>
      </c>
      <c r="J20" s="3"/>
      <c r="K20" s="6"/>
      <c r="L20" s="7"/>
    </row>
    <row r="21" spans="1:12" ht="90" x14ac:dyDescent="0.25">
      <c r="A21" s="3" t="s">
        <v>133</v>
      </c>
      <c r="B21" s="3" t="s">
        <v>26</v>
      </c>
      <c r="C21" s="4" t="s">
        <v>134</v>
      </c>
      <c r="D21" s="3" t="s">
        <v>48</v>
      </c>
      <c r="E21" s="3" t="s">
        <v>29</v>
      </c>
      <c r="F21" s="3" t="s">
        <v>135</v>
      </c>
      <c r="G21" s="3" t="s">
        <v>136</v>
      </c>
      <c r="H21" s="5" t="s">
        <v>32</v>
      </c>
      <c r="I21" s="3" t="s">
        <v>137</v>
      </c>
      <c r="J21" s="3"/>
      <c r="K21" s="6"/>
      <c r="L21" s="7"/>
    </row>
    <row r="22" spans="1:12" ht="90" x14ac:dyDescent="0.25">
      <c r="A22" s="3" t="s">
        <v>138</v>
      </c>
      <c r="B22" s="3" t="s">
        <v>26</v>
      </c>
      <c r="C22" s="4" t="s">
        <v>139</v>
      </c>
      <c r="D22" s="3" t="s">
        <v>42</v>
      </c>
      <c r="E22" s="3" t="s">
        <v>29</v>
      </c>
      <c r="F22" s="3" t="s">
        <v>140</v>
      </c>
      <c r="G22" s="3" t="s">
        <v>141</v>
      </c>
      <c r="H22" s="8" t="s">
        <v>89</v>
      </c>
      <c r="I22" s="3" t="s">
        <v>142</v>
      </c>
      <c r="J22" s="9" t="s">
        <v>91</v>
      </c>
      <c r="K22" s="6" t="s">
        <v>248</v>
      </c>
      <c r="L22" s="7" t="s">
        <v>251</v>
      </c>
    </row>
    <row r="23" spans="1:12" ht="75" x14ac:dyDescent="0.25">
      <c r="A23" s="3" t="s">
        <v>143</v>
      </c>
      <c r="B23" s="3" t="s">
        <v>26</v>
      </c>
      <c r="C23" s="4" t="s">
        <v>144</v>
      </c>
      <c r="D23" s="3" t="s">
        <v>28</v>
      </c>
      <c r="E23" s="3" t="s">
        <v>29</v>
      </c>
      <c r="F23" s="3" t="s">
        <v>145</v>
      </c>
      <c r="G23" s="3" t="s">
        <v>146</v>
      </c>
      <c r="H23" s="5" t="s">
        <v>32</v>
      </c>
      <c r="I23" s="3" t="s">
        <v>147</v>
      </c>
      <c r="J23" s="3"/>
      <c r="K23" s="6"/>
      <c r="L23" s="7"/>
    </row>
    <row r="24" spans="1:12" ht="150" x14ac:dyDescent="0.25">
      <c r="A24" s="3" t="s">
        <v>148</v>
      </c>
      <c r="B24" s="3" t="s">
        <v>26</v>
      </c>
      <c r="C24" s="4" t="s">
        <v>149</v>
      </c>
      <c r="D24" s="3" t="s">
        <v>42</v>
      </c>
      <c r="E24" s="3" t="s">
        <v>29</v>
      </c>
      <c r="F24" s="3" t="s">
        <v>150</v>
      </c>
      <c r="G24" s="3" t="s">
        <v>151</v>
      </c>
      <c r="H24" s="5" t="s">
        <v>32</v>
      </c>
      <c r="I24" s="3" t="s">
        <v>152</v>
      </c>
      <c r="J24" s="3" t="s">
        <v>52</v>
      </c>
      <c r="K24" s="6" t="s">
        <v>250</v>
      </c>
      <c r="L24" s="7" t="s">
        <v>252</v>
      </c>
    </row>
    <row r="25" spans="1:12" ht="75" x14ac:dyDescent="0.25">
      <c r="A25" s="3" t="s">
        <v>153</v>
      </c>
      <c r="B25" s="3" t="s">
        <v>26</v>
      </c>
      <c r="C25" s="4" t="s">
        <v>154</v>
      </c>
      <c r="D25" s="3" t="s">
        <v>55</v>
      </c>
      <c r="E25" s="3" t="s">
        <v>29</v>
      </c>
      <c r="F25" s="3" t="s">
        <v>155</v>
      </c>
      <c r="G25" s="3" t="s">
        <v>156</v>
      </c>
      <c r="H25" s="5" t="s">
        <v>32</v>
      </c>
      <c r="I25" s="3" t="s">
        <v>157</v>
      </c>
      <c r="J25" s="3"/>
      <c r="K25" s="6"/>
      <c r="L25" s="7"/>
    </row>
    <row r="26" spans="1:12" ht="75" x14ac:dyDescent="0.25">
      <c r="A26" s="3" t="s">
        <v>158</v>
      </c>
      <c r="B26" s="3" t="s">
        <v>26</v>
      </c>
      <c r="C26" s="4" t="s">
        <v>159</v>
      </c>
      <c r="D26" s="3" t="s">
        <v>48</v>
      </c>
      <c r="E26" s="3" t="s">
        <v>29</v>
      </c>
      <c r="F26" s="3" t="s">
        <v>160</v>
      </c>
      <c r="G26" s="3" t="s">
        <v>161</v>
      </c>
      <c r="H26" s="5" t="s">
        <v>32</v>
      </c>
      <c r="I26" s="3" t="s">
        <v>162</v>
      </c>
      <c r="J26" s="3"/>
      <c r="K26" s="6"/>
      <c r="L26" s="7"/>
    </row>
    <row r="27" spans="1:12" ht="90" x14ac:dyDescent="0.25">
      <c r="A27" s="3" t="s">
        <v>163</v>
      </c>
      <c r="B27" s="3" t="s">
        <v>26</v>
      </c>
      <c r="C27" s="4" t="s">
        <v>164</v>
      </c>
      <c r="D27" s="3" t="s">
        <v>42</v>
      </c>
      <c r="E27" s="3" t="s">
        <v>29</v>
      </c>
      <c r="F27" s="3" t="s">
        <v>165</v>
      </c>
      <c r="G27" s="3" t="s">
        <v>166</v>
      </c>
      <c r="H27" s="5" t="s">
        <v>32</v>
      </c>
      <c r="I27" s="3" t="s">
        <v>167</v>
      </c>
      <c r="J27" s="3"/>
      <c r="K27" s="6"/>
      <c r="L27" s="7"/>
    </row>
    <row r="28" spans="1:12" ht="75" x14ac:dyDescent="0.25">
      <c r="A28" s="3" t="s">
        <v>168</v>
      </c>
      <c r="B28" s="3" t="s">
        <v>26</v>
      </c>
      <c r="C28" s="4" t="s">
        <v>169</v>
      </c>
      <c r="D28" s="3" t="s">
        <v>71</v>
      </c>
      <c r="E28" s="3" t="s">
        <v>29</v>
      </c>
      <c r="F28" s="3" t="s">
        <v>170</v>
      </c>
      <c r="G28" s="3" t="s">
        <v>171</v>
      </c>
      <c r="H28" s="5" t="s">
        <v>32</v>
      </c>
      <c r="I28" s="3" t="s">
        <v>172</v>
      </c>
      <c r="J28" s="3"/>
      <c r="K28" s="6"/>
      <c r="L28" s="7"/>
    </row>
    <row r="29" spans="1:12" ht="90" x14ac:dyDescent="0.25">
      <c r="A29" s="3" t="s">
        <v>173</v>
      </c>
      <c r="B29" s="3" t="s">
        <v>26</v>
      </c>
      <c r="C29" s="4" t="s">
        <v>174</v>
      </c>
      <c r="D29" s="3" t="s">
        <v>55</v>
      </c>
      <c r="E29" s="3" t="s">
        <v>29</v>
      </c>
      <c r="F29" s="3" t="s">
        <v>175</v>
      </c>
      <c r="G29" s="3" t="s">
        <v>176</v>
      </c>
      <c r="H29" s="5" t="s">
        <v>32</v>
      </c>
      <c r="I29" s="3" t="s">
        <v>177</v>
      </c>
      <c r="J29" s="3" t="s">
        <v>52</v>
      </c>
      <c r="K29" s="6"/>
      <c r="L29" s="7"/>
    </row>
    <row r="30" spans="1:12" ht="75" x14ac:dyDescent="0.25">
      <c r="A30" s="3" t="s">
        <v>178</v>
      </c>
      <c r="B30" s="3" t="s">
        <v>26</v>
      </c>
      <c r="C30" s="4" t="s">
        <v>179</v>
      </c>
      <c r="D30" s="3" t="s">
        <v>42</v>
      </c>
      <c r="E30" s="3" t="s">
        <v>29</v>
      </c>
      <c r="F30" s="3" t="s">
        <v>180</v>
      </c>
      <c r="G30" s="3" t="s">
        <v>181</v>
      </c>
      <c r="H30" s="5" t="s">
        <v>32</v>
      </c>
      <c r="I30" s="3" t="s">
        <v>182</v>
      </c>
      <c r="J30" s="3"/>
      <c r="K30" s="6"/>
      <c r="L30" s="7"/>
    </row>
    <row r="31" spans="1:12" ht="60" x14ac:dyDescent="0.25">
      <c r="A31" s="3" t="s">
        <v>183</v>
      </c>
      <c r="B31" s="3" t="s">
        <v>26</v>
      </c>
      <c r="C31" s="4" t="s">
        <v>184</v>
      </c>
      <c r="D31" s="3" t="s">
        <v>28</v>
      </c>
      <c r="E31" s="3" t="s">
        <v>29</v>
      </c>
      <c r="F31" s="3" t="s">
        <v>185</v>
      </c>
      <c r="G31" s="3" t="s">
        <v>186</v>
      </c>
      <c r="H31" s="5" t="s">
        <v>32</v>
      </c>
      <c r="I31" s="3" t="s">
        <v>187</v>
      </c>
      <c r="J31" s="3"/>
      <c r="K31" s="6"/>
      <c r="L31" s="7"/>
    </row>
    <row r="32" spans="1:12" ht="75" x14ac:dyDescent="0.25">
      <c r="A32" s="3" t="s">
        <v>188</v>
      </c>
      <c r="B32" s="3" t="s">
        <v>26</v>
      </c>
      <c r="C32" s="4" t="s">
        <v>189</v>
      </c>
      <c r="D32" s="3" t="s">
        <v>55</v>
      </c>
      <c r="E32" s="3" t="s">
        <v>29</v>
      </c>
      <c r="F32" s="3" t="s">
        <v>190</v>
      </c>
      <c r="G32" s="3" t="s">
        <v>191</v>
      </c>
      <c r="H32" s="5" t="s">
        <v>32</v>
      </c>
      <c r="I32" s="3" t="s">
        <v>192</v>
      </c>
      <c r="J32" s="3"/>
      <c r="K32" s="6"/>
      <c r="L32" s="7"/>
    </row>
    <row r="33" spans="1:12" ht="75" x14ac:dyDescent="0.25">
      <c r="A33" s="3" t="s">
        <v>193</v>
      </c>
      <c r="B33" s="3" t="s">
        <v>26</v>
      </c>
      <c r="C33" s="4" t="s">
        <v>194</v>
      </c>
      <c r="D33" s="3" t="s">
        <v>55</v>
      </c>
      <c r="E33" s="3" t="s">
        <v>29</v>
      </c>
      <c r="F33" s="3" t="s">
        <v>195</v>
      </c>
      <c r="G33" s="3" t="s">
        <v>196</v>
      </c>
      <c r="H33" s="5" t="s">
        <v>32</v>
      </c>
      <c r="I33" s="3" t="s">
        <v>197</v>
      </c>
      <c r="J33" s="3"/>
      <c r="K33" s="6"/>
      <c r="L33" s="7"/>
    </row>
    <row r="34" spans="1:12" ht="105" x14ac:dyDescent="0.25">
      <c r="A34" s="3" t="s">
        <v>198</v>
      </c>
      <c r="B34" s="3" t="s">
        <v>26</v>
      </c>
      <c r="C34" s="4" t="s">
        <v>199</v>
      </c>
      <c r="D34" s="3" t="s">
        <v>42</v>
      </c>
      <c r="E34" s="3" t="s">
        <v>29</v>
      </c>
      <c r="F34" s="3" t="s">
        <v>200</v>
      </c>
      <c r="G34" s="3" t="s">
        <v>201</v>
      </c>
      <c r="H34" s="5" t="s">
        <v>32</v>
      </c>
      <c r="I34" s="3" t="s">
        <v>202</v>
      </c>
      <c r="J34" s="3"/>
      <c r="K34" s="6"/>
      <c r="L34" s="7"/>
    </row>
    <row r="35" spans="1:12" ht="75" x14ac:dyDescent="0.25">
      <c r="A35" s="3" t="s">
        <v>203</v>
      </c>
      <c r="B35" s="3" t="s">
        <v>26</v>
      </c>
      <c r="C35" s="4" t="s">
        <v>204</v>
      </c>
      <c r="D35" s="3" t="s">
        <v>55</v>
      </c>
      <c r="E35" s="3" t="s">
        <v>29</v>
      </c>
      <c r="F35" s="3" t="s">
        <v>205</v>
      </c>
      <c r="G35" s="3" t="s">
        <v>206</v>
      </c>
      <c r="H35" s="5" t="s">
        <v>32</v>
      </c>
      <c r="I35" s="3" t="s">
        <v>207</v>
      </c>
      <c r="J35" s="3"/>
      <c r="K35" s="6"/>
      <c r="L35" s="7"/>
    </row>
    <row r="36" spans="1:12" ht="75" x14ac:dyDescent="0.25">
      <c r="A36" s="3" t="s">
        <v>208</v>
      </c>
      <c r="B36" s="3" t="s">
        <v>26</v>
      </c>
      <c r="C36" s="4" t="s">
        <v>209</v>
      </c>
      <c r="D36" s="3" t="s">
        <v>55</v>
      </c>
      <c r="E36" s="3" t="s">
        <v>29</v>
      </c>
      <c r="F36" s="3" t="s">
        <v>210</v>
      </c>
      <c r="G36" s="3" t="s">
        <v>211</v>
      </c>
      <c r="H36" s="5" t="s">
        <v>32</v>
      </c>
      <c r="I36" s="3" t="s">
        <v>212</v>
      </c>
      <c r="J36" s="3"/>
      <c r="K36" s="6"/>
      <c r="L36" s="7"/>
    </row>
    <row r="37" spans="1:12" ht="60" x14ac:dyDescent="0.25">
      <c r="A37" s="3" t="s">
        <v>213</v>
      </c>
      <c r="B37" s="3" t="s">
        <v>26</v>
      </c>
      <c r="C37" s="4" t="s">
        <v>214</v>
      </c>
      <c r="D37" s="3" t="s">
        <v>48</v>
      </c>
      <c r="E37" s="3" t="s">
        <v>29</v>
      </c>
      <c r="F37" s="3" t="s">
        <v>215</v>
      </c>
      <c r="G37" s="3" t="s">
        <v>216</v>
      </c>
      <c r="H37" s="5" t="s">
        <v>32</v>
      </c>
      <c r="I37" s="3" t="s">
        <v>217</v>
      </c>
      <c r="J37" s="3"/>
      <c r="K37" s="6"/>
      <c r="L37" s="7"/>
    </row>
    <row r="38" spans="1:12" ht="90" x14ac:dyDescent="0.25">
      <c r="A38" s="3" t="s">
        <v>218</v>
      </c>
      <c r="B38" s="3" t="s">
        <v>26</v>
      </c>
      <c r="C38" s="4" t="s">
        <v>219</v>
      </c>
      <c r="D38" s="3" t="s">
        <v>42</v>
      </c>
      <c r="E38" s="3" t="s">
        <v>29</v>
      </c>
      <c r="F38" s="3" t="s">
        <v>220</v>
      </c>
      <c r="G38" s="3" t="s">
        <v>221</v>
      </c>
      <c r="H38" s="5" t="s">
        <v>32</v>
      </c>
      <c r="I38" s="3" t="s">
        <v>222</v>
      </c>
      <c r="J38" s="3"/>
      <c r="K38" s="6"/>
      <c r="L38" s="7"/>
    </row>
    <row r="39" spans="1:12" ht="60" x14ac:dyDescent="0.25">
      <c r="A39" s="3" t="s">
        <v>223</v>
      </c>
      <c r="B39" s="3" t="s">
        <v>26</v>
      </c>
      <c r="C39" s="4" t="s">
        <v>224</v>
      </c>
      <c r="D39" s="3" t="s">
        <v>28</v>
      </c>
      <c r="E39" s="3" t="s">
        <v>29</v>
      </c>
      <c r="F39" s="3" t="s">
        <v>225</v>
      </c>
      <c r="G39" s="3" t="s">
        <v>226</v>
      </c>
      <c r="H39" s="5" t="s">
        <v>32</v>
      </c>
      <c r="I39" s="3" t="s">
        <v>227</v>
      </c>
      <c r="J39" s="3"/>
      <c r="K39" s="6"/>
      <c r="L39" s="7"/>
    </row>
    <row r="40" spans="1:12" ht="75" x14ac:dyDescent="0.25">
      <c r="A40" s="3" t="s">
        <v>228</v>
      </c>
      <c r="B40" s="3" t="s">
        <v>26</v>
      </c>
      <c r="C40" s="4" t="s">
        <v>229</v>
      </c>
      <c r="D40" s="3" t="s">
        <v>42</v>
      </c>
      <c r="E40" s="3" t="s">
        <v>29</v>
      </c>
      <c r="F40" s="3" t="s">
        <v>230</v>
      </c>
      <c r="G40" s="3" t="s">
        <v>231</v>
      </c>
      <c r="H40" s="5" t="s">
        <v>32</v>
      </c>
      <c r="I40" s="3" t="s">
        <v>232</v>
      </c>
      <c r="J40" s="3"/>
      <c r="K40" s="6"/>
      <c r="L40" s="7"/>
    </row>
    <row r="41" spans="1:12" ht="105" x14ac:dyDescent="0.25">
      <c r="A41" s="3" t="s">
        <v>233</v>
      </c>
      <c r="B41" s="3" t="s">
        <v>26</v>
      </c>
      <c r="C41" s="4" t="s">
        <v>234</v>
      </c>
      <c r="D41" s="3" t="s">
        <v>55</v>
      </c>
      <c r="E41" s="3" t="s">
        <v>29</v>
      </c>
      <c r="F41" s="3" t="s">
        <v>235</v>
      </c>
      <c r="G41" s="3" t="s">
        <v>236</v>
      </c>
      <c r="H41" s="5" t="s">
        <v>32</v>
      </c>
      <c r="I41" s="3" t="s">
        <v>237</v>
      </c>
      <c r="J41" s="3"/>
      <c r="K41" s="6"/>
      <c r="L41" s="7"/>
    </row>
  </sheetData>
  <autoFilter ref="A1:L41" xr:uid="{00000000-0009-0000-0000-000001000000}"/>
  <dataValidations count="1">
    <dataValidation type="list" allowBlank="1" sqref="K2:K41" xr:uid="{00000000-0002-0000-0100-000000000000}">
      <formula1>"да,нет,не знаю"</formula1>
    </dataValidation>
  </dataValidations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"/>
  <sheetViews>
    <sheetView workbookViewId="0"/>
  </sheetViews>
  <sheetFormatPr defaultRowHeight="15" x14ac:dyDescent="0.25"/>
  <cols>
    <col min="1" max="1" width="16" customWidth="1"/>
    <col min="2" max="2" width="8" customWidth="1"/>
    <col min="3" max="4" width="12" customWidth="1"/>
    <col min="5" max="7" width="14" customWidth="1"/>
    <col min="8" max="8" width="16" customWidth="1"/>
    <col min="9" max="9" width="30" customWidth="1"/>
  </cols>
  <sheetData>
    <row r="1" spans="1:9" ht="45" x14ac:dyDescent="0.25">
      <c r="A1" s="9" t="s">
        <v>14</v>
      </c>
      <c r="B1" s="9" t="s">
        <v>238</v>
      </c>
      <c r="C1" s="9" t="s">
        <v>239</v>
      </c>
      <c r="D1" s="9" t="s">
        <v>240</v>
      </c>
      <c r="E1" s="9" t="s">
        <v>241</v>
      </c>
      <c r="F1" s="9" t="s">
        <v>242</v>
      </c>
      <c r="G1" s="9" t="s">
        <v>243</v>
      </c>
      <c r="H1" s="9" t="s">
        <v>244</v>
      </c>
      <c r="I1" s="9" t="s">
        <v>245</v>
      </c>
    </row>
    <row r="2" spans="1:9" x14ac:dyDescent="0.25">
      <c r="A2" t="s">
        <v>246</v>
      </c>
      <c r="B2">
        <f>COUNTIF(Выборка!$B:$B,A2)</f>
        <v>0</v>
      </c>
      <c r="C2">
        <f>COUNTIFS(Выборка!$B:$B,A2,Выборка!$K:$K,"да")</f>
        <v>0</v>
      </c>
      <c r="D2">
        <f>COUNTIFS(Выборка!$B:$B,A2,Выборка!$K:$K,"нет")</f>
        <v>0</v>
      </c>
      <c r="E2">
        <f>COUNTIFS(Выборка!$B:$B,A2,Выборка!$K:$K,"не знаю")</f>
        <v>0</v>
      </c>
      <c r="F2">
        <f>COUNTIFS(Выборка!$B:$B,A2,Выборка!$H:$H,"совпадает")</f>
        <v>0</v>
      </c>
      <c r="G2">
        <f>COUNTIFS(Выборка!$B:$B,A2,Выборка!$H:$H,"сомнение")</f>
        <v>0</v>
      </c>
      <c r="H2">
        <f>COUNTIFS(Выборка!$B:$B,A2,Выборка!$H:$H,"не совпадает")</f>
        <v>0</v>
      </c>
      <c r="I2" t="str">
        <f>IFERROR(100*(C2+COUNTIFS(Выборка!$B:$B,A2,Выборка!$K:$K,"",Выборка!$H:$H,"совпадает")+COUNTIFS(Выборка!$B:$B,A2,Выборка!$K:$K,"не знаю",Выборка!$H:$H,"совпадает"))/(C2+D2+COUNTIFS(Выборка!$B:$B,A2,Выборка!$K:$K,"",Выборка!$H:$H,"совпадает")+COUNTIFS(Выборка!$B:$B,A2,Выборка!$K:$K,"не знаю",Выборка!$H:$H,"совпадает")+COUNTIFS(Выборка!$B:$B,A2,Выборка!$K:$K,"",Выборка!$H:$H,"не совпадает")+COUNTIFS(Выборка!$B:$B,A2,Выборка!$K:$K,"не знаю",Выборка!$H:$H,"не совпадает")),"")</f>
        <v/>
      </c>
    </row>
    <row r="3" spans="1:9" x14ac:dyDescent="0.25">
      <c r="A3" t="s">
        <v>26</v>
      </c>
      <c r="B3">
        <f>COUNTIF(Выборка!$B:$B,A3)</f>
        <v>40</v>
      </c>
      <c r="C3">
        <f>COUNTIFS(Выборка!$B:$B,A3,Выборка!$K:$K,"да")</f>
        <v>5</v>
      </c>
      <c r="D3">
        <f>COUNTIFS(Выборка!$B:$B,A3,Выборка!$K:$K,"нет")</f>
        <v>2</v>
      </c>
      <c r="E3">
        <f>COUNTIFS(Выборка!$B:$B,A3,Выборка!$K:$K,"не знаю")</f>
        <v>0</v>
      </c>
      <c r="F3">
        <f>COUNTIFS(Выборка!$B:$B,A3,Выборка!$H:$H,"совпадает")</f>
        <v>38</v>
      </c>
      <c r="G3">
        <f>COUNTIFS(Выборка!$B:$B,A3,Выборка!$H:$H,"сомнение")</f>
        <v>2</v>
      </c>
      <c r="H3">
        <f>COUNTIFS(Выборка!$B:$B,A3,Выборка!$H:$H,"не совпадает")</f>
        <v>0</v>
      </c>
      <c r="I3">
        <f>IFERROR(100*(C3+COUNTIFS(Выборка!$B:$B,A3,Выборка!$K:$K,"",Выборка!$H:$H,"совпадает")+COUNTIFS(Выборка!$B:$B,A3,Выборка!$K:$K,"не знаю",Выборка!$H:$H,"совпадает"))/(C3+D3+COUNTIFS(Выборка!$B:$B,A3,Выборка!$K:$K,"",Выборка!$H:$H,"совпадает")+COUNTIFS(Выборка!$B:$B,A3,Выборка!$K:$K,"не знаю",Выборка!$H:$H,"совпадает")+COUNTIFS(Выборка!$B:$B,A3,Выборка!$K:$K,"",Выборка!$H:$H,"не совпадает")+COUNTIFS(Выборка!$B:$B,A3,Выборка!$K:$K,"не знаю",Выборка!$H:$H,"не совпадает")),"")</f>
        <v>95</v>
      </c>
    </row>
    <row r="5" spans="1:9" x14ac:dyDescent="0.25">
      <c r="A5" t="s">
        <v>247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Как заполнять</vt:lpstr>
      <vt:lpstr>Выборка</vt:lpstr>
      <vt:lpstr>Итог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bjm535@gmail.com</cp:lastModifiedBy>
  <dcterms:created xsi:type="dcterms:W3CDTF">2026-10-16T00:54:36Z</dcterms:created>
  <dcterms:modified xsi:type="dcterms:W3CDTF">2026-10-16T01:42:35Z</dcterms:modified>
</cp:coreProperties>
</file>