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Как заполнять" sheetId="1" state="visible" r:id="rId1"/>
    <sheet name="Выборка" sheetId="2" state="visible" r:id="rId2"/>
    <sheet name="Итог" sheetId="3" state="visible" r:id="rId3"/>
  </sheets>
  <definedNames>
    <definedName name="_xlnm._FilterDatabase" localSheetId="1" hidden="1">'Выборка'!$A$1:$L$41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dvisories/GHSA-85g9-8j9g-p486" TargetMode="External" Id="rId1" /><Relationship Type="http://schemas.openxmlformats.org/officeDocument/2006/relationships/hyperlink" Target="https://github.com/supabase/auth/issues/1365" TargetMode="External" Id="rId2" /><Relationship Type="http://schemas.openxmlformats.org/officeDocument/2006/relationships/hyperlink" Target="https://github.com/advisories/GHSA-vx2m-jpxr-xv7w" TargetMode="External" Id="rId3" /><Relationship Type="http://schemas.openxmlformats.org/officeDocument/2006/relationships/hyperlink" Target="https://github.com/advisories/GHSA-87mg-5grr-rhwh" TargetMode="External" Id="rId4" /><Relationship Type="http://schemas.openxmlformats.org/officeDocument/2006/relationships/hyperlink" Target="https://github.com/advisories/GHSA-x487-866m-p8hr" TargetMode="External" Id="rId5" /><Relationship Type="http://schemas.openxmlformats.org/officeDocument/2006/relationships/hyperlink" Target="https://github.com/advisories/GHSA-f27p-pw2p-9pr4" TargetMode="External" Id="rId6" /><Relationship Type="http://schemas.openxmlformats.org/officeDocument/2006/relationships/hyperlink" Target="https://github.com/advisories/GHSA-45gv-9wjv-xh7p" TargetMode="External" Id="rId7" /><Relationship Type="http://schemas.openxmlformats.org/officeDocument/2006/relationships/hyperlink" Target="https://github.com/directus/directus/issues/24239" TargetMode="External" Id="rId8" /><Relationship Type="http://schemas.openxmlformats.org/officeDocument/2006/relationships/hyperlink" Target="https://github.com/advisories/GHSA-43cq-c2gq-pfpw" TargetMode="External" Id="rId9" /><Relationship Type="http://schemas.openxmlformats.org/officeDocument/2006/relationships/hyperlink" Target="https://github.com/advisories/GHSA-jvh5-97xg-v99f" TargetMode="External" Id="rId10" /><Relationship Type="http://schemas.openxmlformats.org/officeDocument/2006/relationships/hyperlink" Target="https://github.com/advisories/GHSA-7m6h-rg42-m449" TargetMode="External" Id="rId11" /><Relationship Type="http://schemas.openxmlformats.org/officeDocument/2006/relationships/hyperlink" Target="https://github.com/advisories/GHSA-3h96-34p3-xm76" TargetMode="External" Id="rId12" /><Relationship Type="http://schemas.openxmlformats.org/officeDocument/2006/relationships/hyperlink" Target="https://github.com/advisories/GHSA-qq9q-x9w4-chhj" TargetMode="External" Id="rId13" /><Relationship Type="http://schemas.openxmlformats.org/officeDocument/2006/relationships/hyperlink" Target="https://github.com/apollographql/apollo-server/issues/3253" TargetMode="External" Id="rId14" /><Relationship Type="http://schemas.openxmlformats.org/officeDocument/2006/relationships/hyperlink" Target="https://github.com/advisories/GHSA-pjhx-3c3w-9v23" TargetMode="External" Id="rId15" /><Relationship Type="http://schemas.openxmlformats.org/officeDocument/2006/relationships/hyperlink" Target="https://github.com/advisories/GHSA-3pjw-73gf-8qr5" TargetMode="External" Id="rId16" /><Relationship Type="http://schemas.openxmlformats.org/officeDocument/2006/relationships/hyperlink" Target="https://github.com/advisories/GHSA-2mw5-23gm-pccq" TargetMode="External" Id="rId17" /><Relationship Type="http://schemas.openxmlformats.org/officeDocument/2006/relationships/hyperlink" Target="https://github.com/advisories/GHSA-hf8h-97gm-4x2p" TargetMode="External" Id="rId18" /><Relationship Type="http://schemas.openxmlformats.org/officeDocument/2006/relationships/hyperlink" Target="https://github.com/advisories/GHSA-wg2f-x2c2-c4rp" TargetMode="External" Id="rId19" /><Relationship Type="http://schemas.openxmlformats.org/officeDocument/2006/relationships/hyperlink" Target="https://github.com/advisories/GHSA-65cv-w493-7vhq" TargetMode="External" Id="rId20" /><Relationship Type="http://schemas.openxmlformats.org/officeDocument/2006/relationships/hyperlink" Target="https://github.com/advisories/GHSA-32r8-5843-4qw2" TargetMode="External" Id="rId21" /><Relationship Type="http://schemas.openxmlformats.org/officeDocument/2006/relationships/hyperlink" Target="https://github.com/advisories/GHSA-cp4q-fqw9-4hf6" TargetMode="External" Id="rId22" /><Relationship Type="http://schemas.openxmlformats.org/officeDocument/2006/relationships/hyperlink" Target="https://github.com/advisories/GHSA-pg57-6jwg-q645" TargetMode="External" Id="rId23" /><Relationship Type="http://schemas.openxmlformats.org/officeDocument/2006/relationships/hyperlink" Target="https://github.com/advisories/GHSA-vq6j-hj8w-7v39" TargetMode="External" Id="rId24" /><Relationship Type="http://schemas.openxmlformats.org/officeDocument/2006/relationships/hyperlink" Target="https://github.com/advisories/GHSA-j8pm-gj4c-rq4x" TargetMode="External" Id="rId25" /><Relationship Type="http://schemas.openxmlformats.org/officeDocument/2006/relationships/hyperlink" Target="https://github.com/advisories/GHSA-4p3g-4hcj-wpvx" TargetMode="External" Id="rId26" /><Relationship Type="http://schemas.openxmlformats.org/officeDocument/2006/relationships/hyperlink" Target="https://github.com/directus/directus/issues/24011" TargetMode="External" Id="rId27" /><Relationship Type="http://schemas.openxmlformats.org/officeDocument/2006/relationships/hyperlink" Target="https://github.com/advisories/GHSA-8j3g-f24p-4mpw" TargetMode="External" Id="rId28" /><Relationship Type="http://schemas.openxmlformats.org/officeDocument/2006/relationships/hyperlink" Target="https://github.com/advisories/GHSA-h6w7-xxcf-w2mq" TargetMode="External" Id="rId29" /><Relationship Type="http://schemas.openxmlformats.org/officeDocument/2006/relationships/hyperlink" Target="https://github.com/advisories/GHSA-9fxm-vc8v-hj55" TargetMode="External" Id="rId30" /><Relationship Type="http://schemas.openxmlformats.org/officeDocument/2006/relationships/hyperlink" Target="https://github.com/advisories/GHSA-cp65-5m9r-vc2c" TargetMode="External" Id="rId31" /><Relationship Type="http://schemas.openxmlformats.org/officeDocument/2006/relationships/hyperlink" Target="https://github.com/advisories/GHSA-x76w-6vjr-8xgj" TargetMode="External" Id="rId32" /><Relationship Type="http://schemas.openxmlformats.org/officeDocument/2006/relationships/hyperlink" Target="https://github.com/advisories/GHSA-fq2p-5p22-8g6j" TargetMode="External" Id="rId33" /><Relationship Type="http://schemas.openxmlformats.org/officeDocument/2006/relationships/hyperlink" Target="https://github.com/advisories/GHSA-qpgp-93vx-g8v8" TargetMode="External" Id="rId34" /><Relationship Type="http://schemas.openxmlformats.org/officeDocument/2006/relationships/hyperlink" Target="https://github.com/advisories/GHSA-2x79-gwq3-vxxm" TargetMode="External" Id="rId35" /><Relationship Type="http://schemas.openxmlformats.org/officeDocument/2006/relationships/hyperlink" Target="https://github.com/advisories/GHSA-rw77-vq4g-x3hp" TargetMode="External" Id="rId36" /><Relationship Type="http://schemas.openxmlformats.org/officeDocument/2006/relationships/hyperlink" Target="https://github.com/advisories/GHSA-fmgp-q6jx-gg3x" TargetMode="External" Id="rId37" /><Relationship Type="http://schemas.openxmlformats.org/officeDocument/2006/relationships/hyperlink" Target="https://github.com/advisories/GHSA-2x9c-vp3g-hvv2" TargetMode="External" Id="rId38" /><Relationship Type="http://schemas.openxmlformats.org/officeDocument/2006/relationships/hyperlink" Target="https://github.com/advisories/GHSA-5pg6-m483-7vrg" TargetMode="External" Id="rId39" /><Relationship Type="http://schemas.openxmlformats.org/officeDocument/2006/relationships/hyperlink" Target="https://github.com/advisories/GHSA-mhwm-jh88-3gjf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Что проверять</t>
        </is>
      </c>
    </row>
    <row r="2">
      <c r="A2" t="inlineStr">
        <is>
          <t>Вопрос не «нужна ли такая проверка» и не «баг ли это вообще», а «правильно ли LLM пересказала исходный баг».</t>
        </is>
      </c>
    </row>
    <row r="3">
      <c r="A3" t="inlineStr">
        <is>
          <t>Открыть ссылку в колонке «Баг» и сравнить с колонками «Решение LLM» и «Паттерн / сопоставление»:</t>
        </is>
      </c>
    </row>
    <row r="4">
      <c r="A4" t="inlineStr">
        <is>
          <t>• Триаж: верно ли решение «API» / «вне области» и класс корзины;</t>
        </is>
      </c>
    </row>
    <row r="5">
      <c r="A5" t="inlineStr">
        <is>
          <t>• Пересказ (строки API): совпадает ли паттерн с багом — не перепутана суть, не додумано ожидание, которого нет;</t>
        </is>
      </c>
    </row>
    <row r="6">
      <c r="A6" t="inlineStr">
        <is>
          <t>• Сопоставление: действительно ли баг относится к записи (covered — уже покрыт, extends — новый вариант записи).</t>
        </is>
      </c>
    </row>
    <row r="7">
      <c r="A7" t="inlineStr"/>
    </row>
    <row r="8">
      <c r="A8" s="1" t="inlineStr">
        <is>
          <t>Как заполнять</t>
        </is>
      </c>
    </row>
    <row r="9">
      <c r="A9" t="inlineStr">
        <is>
          <t>1. Фильтр по колонке «Проверить»: «обязательно» — Claude сомневается или нашёл расхождение; «выборочно» — случайная проверка строк, где Claude считает «совпадает».</t>
        </is>
      </c>
    </row>
    <row r="10">
      <c r="A10" t="inlineStr">
        <is>
          <t>2. В «Верно (человек)» выбрать да / нет / не знаю; в «Комментарий» — почему (особенно для «нет»).</t>
        </is>
      </c>
    </row>
    <row r="11">
      <c r="A11" t="inlineStr">
        <is>
          <t>3. Остальные строки можно не трогать: засчитывается вывод Claude (и при «не знаю» тоже). Отметка да/нет всегда важнее.</t>
        </is>
      </c>
    </row>
    <row r="12">
      <c r="A12" t="inlineStr">
        <is>
          <t>4. Идеи новых проверок — тоже в «Комментарий»: Claude перенесёт их в Api/ideas/inbox.md.</t>
        </is>
      </c>
    </row>
    <row r="13">
      <c r="A13" t="inlineStr"/>
    </row>
    <row r="14">
      <c r="A14" t="inlineStr">
        <is>
          <t>Цель — не меньше 85 % верных отдельно для триажа и для сопоставления (ADR 0005).</t>
        </is>
      </c>
    </row>
    <row r="15">
      <c r="A15" t="inlineStr">
        <is>
          <t>Итог считает лист «Итог»; точный расчёт — python tools/mining/accuracy.py score --batch scale-01.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2" customWidth="1" min="4" max="4"/>
    <col width="22" customWidth="1" min="5" max="5"/>
    <col width="50" customWidth="1" min="6" max="6"/>
    <col width="60" customWidth="1" min="7" max="7"/>
    <col width="14" customWidth="1" min="8" max="8"/>
    <col width="50" customWidth="1" min="9" max="9"/>
    <col width="13" customWidth="1" min="10" max="10"/>
    <col width="14" customWidth="1" min="11" max="11"/>
    <col width="50" customWidth="1" min="12" max="12"/>
  </cols>
  <sheetData>
    <row r="1">
      <c r="A1" s="2" t="inlineStr">
        <is>
          <t>ID</t>
        </is>
      </c>
      <c r="B1" s="2" t="inlineStr">
        <is>
          <t>Раздел</t>
        </is>
      </c>
      <c r="C1" s="2" t="inlineStr">
        <is>
          <t>Баг</t>
        </is>
      </c>
      <c r="D1" s="2" t="inlineStr">
        <is>
          <t>Источник</t>
        </is>
      </c>
      <c r="E1" s="2" t="inlineStr">
        <is>
          <t>Решение LLM</t>
        </is>
      </c>
      <c r="F1" s="2" t="inlineStr">
        <is>
          <t>Паттерн / сопоставление</t>
        </is>
      </c>
      <c r="G1" s="2" t="inlineStr">
        <is>
          <t>Выдержка из бага</t>
        </is>
      </c>
      <c r="H1" s="2" t="inlineStr">
        <is>
          <t>Вывод Claude</t>
        </is>
      </c>
      <c r="I1" s="2" t="inlineStr">
        <is>
          <t>Почему</t>
        </is>
      </c>
      <c r="J1" s="2" t="inlineStr">
        <is>
          <t>Проверить</t>
        </is>
      </c>
      <c r="K1" s="2" t="inlineStr">
        <is>
          <t>Верно (человек)</t>
        </is>
      </c>
      <c r="L1" s="2" t="inlineStr">
        <is>
          <t>Комментарий</t>
        </is>
      </c>
    </row>
    <row r="2">
      <c r="A2" s="3" t="inlineStr">
        <is>
          <t>M1</t>
        </is>
      </c>
      <c r="B2" s="3" t="inlineStr">
        <is>
          <t>Сопоставление</t>
        </is>
      </c>
      <c r="C2" s="4" t="inlineStr">
        <is>
          <t>GHSA-85g9-8j9g-p486</t>
        </is>
      </c>
      <c r="D2" s="3" t="inlineStr">
        <is>
          <t>ghsa-maven</t>
        </is>
      </c>
      <c r="E2" s="3" t="inlineStr">
        <is>
          <t>API</t>
        </is>
      </c>
      <c r="F2" s="3" t="inlineStr">
        <is>
          <t>covered → HARD-SHADOW-API-VERSIONS
Альтернативная версия API без защиты — ровно запись
Паттерн: Экспериментальная версия API применяет те же проверки прав</t>
        </is>
      </c>
      <c r="G2" s="3" t="inlineStr">
        <is>
          <t>The `/v2` experimental interface lacks permission checks</t>
        </is>
      </c>
      <c r="H2" s="5" t="inlineStr">
        <is>
          <t>совпадает</t>
        </is>
      </c>
      <c r="I2" s="3" t="inlineStr">
        <is>
          <t>HARD-SHADOW-API-VERSIONS — ровно это; covered верно</t>
        </is>
      </c>
      <c r="J2" s="3" t="inlineStr"/>
      <c r="K2" s="6" t="n"/>
      <c r="L2" s="7" t="n"/>
    </row>
    <row r="3">
      <c r="A3" s="3" t="inlineStr">
        <is>
          <t>M2</t>
        </is>
      </c>
      <c r="B3" s="3" t="inlineStr">
        <is>
          <t>Сопоставление</t>
        </is>
      </c>
      <c r="C3" s="4" t="inlineStr">
        <is>
          <t>supabase/auth#1365</t>
        </is>
      </c>
      <c r="D3" s="3" t="inlineStr">
        <is>
          <t>supabase-auth</t>
        </is>
      </c>
      <c r="E3" s="3" t="inlineStr">
        <is>
          <t>API</t>
        </is>
      </c>
      <c r="F3" s="3" t="inlineStr">
        <is>
          <t>extends → AUTH-USER-ENUMERATION
Различие ответов не в тексте или времени, а в отдельном поле (role)
Паттерн: Ответ регистрации на занятый email не раскрывает поля существующего пользователя</t>
        </is>
      </c>
      <c r="G3" s="3" t="inlineStr">
        <is>
          <t>sanitizeUser should remove all user sensitive information… currently Role is not sanitized, which results in the role of a user being leaked</t>
        </is>
      </c>
      <c r="H3" s="5" t="inlineStr">
        <is>
          <t>совпадает</t>
        </is>
      </c>
      <c r="I3" s="3" t="inlineStr">
        <is>
          <t>Перечисление пользователей через отдельное поле ответа — вариант AUTH-USER-ENUMERATION</t>
        </is>
      </c>
      <c r="J3" s="3" t="inlineStr"/>
      <c r="K3" s="6" t="n"/>
      <c r="L3" s="7" t="n"/>
    </row>
    <row r="4">
      <c r="A4" s="3" t="inlineStr">
        <is>
          <t>M3</t>
        </is>
      </c>
      <c r="B4" s="3" t="inlineStr">
        <is>
          <t>Сопоставление</t>
        </is>
      </c>
      <c r="C4" s="4" t="inlineStr">
        <is>
          <t>GHSA-vx2m-jpxr-xv7w</t>
        </is>
      </c>
      <c r="D4" s="3" t="inlineStr">
        <is>
          <t>ghsa-go</t>
        </is>
      </c>
      <c r="E4" s="3" t="inlineStr">
        <is>
          <t>API</t>
        </is>
      </c>
      <c r="F4" s="3" t="inlineStr">
        <is>
          <t>extends → FILE-DOWNLOAD-AUTHZ
Срок действия ссылки проверяется, но не при восстановлении из кэша контекста
Паттерн: Отозванный или истёкший доступ по общей ссылке не продлевается кэшем контекста</t>
        </is>
      </c>
      <c r="G4" s="3" t="inlineStr">
        <is>
          <t>a recipient who prewarms a context hint while access is valid can keep minting signed file URLs… after the owner deletes the share or the share expires</t>
        </is>
      </c>
      <c r="H4" s="5" t="inlineStr">
        <is>
          <t>совпадает</t>
        </is>
      </c>
      <c r="I4" s="3" t="inlineStr">
        <is>
          <t>FILE-DOWNLOAD-AUTHZ проверяет права и срок ссылок; кэш контекста — новый вариант</t>
        </is>
      </c>
      <c r="J4" s="3" t="inlineStr"/>
      <c r="K4" s="6" t="n"/>
      <c r="L4" s="7" t="n"/>
    </row>
    <row r="5">
      <c r="A5" s="3" t="inlineStr">
        <is>
          <t>M4</t>
        </is>
      </c>
      <c r="B5" s="3" t="inlineStr">
        <is>
          <t>Сопоставление</t>
        </is>
      </c>
      <c r="C5" s="4" t="inlineStr">
        <is>
          <t>GHSA-87mg-5grr-rhwh</t>
        </is>
      </c>
      <c r="D5" s="3" t="inlineStr">
        <is>
          <t>ghsa-composer</t>
        </is>
      </c>
      <c r="E5" s="3" t="inlineStr">
        <is>
          <t>API</t>
        </is>
      </c>
      <c r="F5" s="3" t="inlineStr">
        <is>
          <t>covered → REST-SSRF-URL-FETCH
Базовая проверка серверной загрузки по URL
Паттерн: URL ленты из настроек не ведёт на внутренние адреса</t>
        </is>
      </c>
      <c r="G5" s="3" t="inlineStr">
        <is>
          <t>passes RSS feed URLs from its configuration directly to $this-&gt;feedIo-&gt;read($url) without any scheme validation or private-IP blocklist</t>
        </is>
      </c>
      <c r="H5" s="5" t="inlineStr">
        <is>
          <t>совпадает</t>
        </is>
      </c>
      <c r="I5" s="3" t="inlineStr">
        <is>
          <t>Базовый SSRF через URL, который загружает сервер; covered верно</t>
        </is>
      </c>
      <c r="J5" s="3" t="inlineStr">
        <is>
          <t>выборочно</t>
        </is>
      </c>
      <c r="K5" s="6" t="n"/>
      <c r="L5" s="7" t="n"/>
    </row>
    <row r="6">
      <c r="A6" s="3" t="inlineStr">
        <is>
          <t>M5</t>
        </is>
      </c>
      <c r="B6" s="3" t="inlineStr">
        <is>
          <t>Сопоставление</t>
        </is>
      </c>
      <c r="C6" s="4" t="inlineStr">
        <is>
          <t>GHSA-x487-866m-p8hr</t>
        </is>
      </c>
      <c r="D6" s="3" t="inlineStr">
        <is>
          <t>ghsa-rubygems</t>
        </is>
      </c>
      <c r="E6" s="3" t="inlineStr">
        <is>
          <t>API</t>
        </is>
      </c>
      <c r="F6" s="3" t="inlineStr">
        <is>
          <t>covered → INJ-TEMPLATE-SSTI
Инъекция шаблона в параметр
Паттерн: Параметр формата не исполняется как серверный шаблон</t>
        </is>
      </c>
      <c r="G6" s="3" t="inlineStr">
        <is>
          <t>Server-Side Template Injection (SSTI) vulnerability via the formats parameter</t>
        </is>
      </c>
      <c r="H6" s="5" t="inlineStr">
        <is>
          <t>совпадает</t>
        </is>
      </c>
      <c r="I6" s="3" t="inlineStr">
        <is>
          <t>INJ-TEMPLATE-SSTI; деталей в баге нет, covered верно</t>
        </is>
      </c>
      <c r="J6" s="3" t="inlineStr">
        <is>
          <t>выборочно</t>
        </is>
      </c>
      <c r="K6" s="6" t="n"/>
      <c r="L6" s="7" t="n"/>
    </row>
    <row r="7">
      <c r="A7" s="3" t="inlineStr">
        <is>
          <t>M6</t>
        </is>
      </c>
      <c r="B7" s="3" t="inlineStr">
        <is>
          <t>Сопоставление</t>
        </is>
      </c>
      <c r="C7" s="4" t="inlineStr">
        <is>
          <t>GHSA-f27p-pw2p-9pr4</t>
        </is>
      </c>
      <c r="D7" s="3" t="inlineStr">
        <is>
          <t>ghsa-go</t>
        </is>
      </c>
      <c r="E7" s="3" t="inlineStr">
        <is>
          <t>API</t>
        </is>
      </c>
      <c r="F7" s="3" t="inlineStr">
        <is>
          <t>extends → SEC-CLONE-FIELD-PERMISSIONS
Копирование проверяет не те права, что создание; вариант — права на целевой контейнер
Паттерн: Копирование ресурса в родительский контейнер требует тех же прав, что создание в нём</t>
        </is>
      </c>
      <c r="G7" s="3" t="inlineStr">
        <is>
          <t>duplicate a project they can read into any parent project… regardless of whether they have write access to that parent</t>
        </is>
      </c>
      <c r="H7" s="5" t="inlineStr">
        <is>
          <t>совпадает</t>
        </is>
      </c>
      <c r="I7" s="3" t="inlineStr">
        <is>
          <t>Запись про права при копировании; право записи в целевой контейнер — вариант</t>
        </is>
      </c>
      <c r="J7" s="3" t="inlineStr"/>
      <c r="K7" s="6" t="n"/>
      <c r="L7" s="7" t="n"/>
    </row>
    <row r="8">
      <c r="A8" s="3" t="inlineStr">
        <is>
          <t>M7</t>
        </is>
      </c>
      <c r="B8" s="3" t="inlineStr">
        <is>
          <t>Сопоставление</t>
        </is>
      </c>
      <c r="C8" s="4" t="inlineStr">
        <is>
          <t>GHSA-45gv-9wjv-xh7p</t>
        </is>
      </c>
      <c r="D8" s="3" t="inlineStr">
        <is>
          <t>ghsa-go</t>
        </is>
      </c>
      <c r="E8" s="3" t="inlineStr">
        <is>
          <t>API</t>
        </is>
      </c>
      <c r="F8" s="3" t="inlineStr">
        <is>
          <t>extends → AUTH-MFA-STEP-UP
Второй фактор не требуется; вариант — вход по паролю при факторе типа passkey
Паттерн: Вход по паролю требует второй фактор любого зарегистрированного типа</t>
        </is>
      </c>
      <c r="G8" s="3" t="inlineStr">
        <is>
          <t>An account that has registered a passkey but no TOTP is logged in after password verification alone</t>
        </is>
      </c>
      <c r="H8" s="5" t="inlineStr">
        <is>
          <t>совпадает</t>
        </is>
      </c>
      <c r="I8" s="3" t="inlineStr">
        <is>
          <t>Второй фактор не требуется — AUTH-MFA-STEP-UP, вариант по типу фактора</t>
        </is>
      </c>
      <c r="J8" s="3" t="inlineStr">
        <is>
          <t>выборочно</t>
        </is>
      </c>
      <c r="K8" s="6" t="n"/>
      <c r="L8" s="7" t="n"/>
    </row>
    <row r="9">
      <c r="A9" s="3" t="inlineStr">
        <is>
          <t>M8</t>
        </is>
      </c>
      <c r="B9" s="3" t="inlineStr">
        <is>
          <t>Сопоставление</t>
        </is>
      </c>
      <c r="C9" s="4" t="inlineStr">
        <is>
          <t>directus/directus#24239</t>
        </is>
      </c>
      <c r="D9" s="3" t="inlineStr">
        <is>
          <t>directus</t>
        </is>
      </c>
      <c r="E9" s="3" t="inlineStr">
        <is>
          <t>API</t>
        </is>
      </c>
      <c r="F9" s="3" t="inlineStr">
        <is>
          <t>extends → CONC-PARALLEL-INDEPENDENT
Параллельные независимые запросы роняют сервис — вариант с одновременным сбросом кэша
Паттерн: Параллельные запросы после изменения схемы не перестраивают её каждый отдельно</t>
        </is>
      </c>
      <c r="G9" s="3" t="inlineStr">
        <is>
          <t>all the Graphql requests are trying to build the Graphql schema, after the cache is cleared… Out of Memory</t>
        </is>
      </c>
      <c r="H9" s="5" t="inlineStr">
        <is>
          <t>совпадает</t>
        </is>
      </c>
      <c r="I9" s="3" t="inlineStr">
        <is>
          <t>Параллельные запросы роняют сервис — CONC-PARALLEL-INDEPENDENT; сброс кэша схемы — вариант из бага</t>
        </is>
      </c>
      <c r="J9" s="3" t="inlineStr"/>
      <c r="K9" s="6" t="n"/>
      <c r="L9" s="7" t="n"/>
    </row>
    <row r="10">
      <c r="A10" s="3" t="inlineStr">
        <is>
          <t>M9</t>
        </is>
      </c>
      <c r="B10" s="3" t="inlineStr">
        <is>
          <t>Сопоставление</t>
        </is>
      </c>
      <c r="C10" s="4" t="inlineStr">
        <is>
          <t>GHSA-43cq-c2gq-pfpw</t>
        </is>
      </c>
      <c r="D10" s="3" t="inlineStr">
        <is>
          <t>ghsa-composer</t>
        </is>
      </c>
      <c r="E10" s="3" t="inlineStr">
        <is>
          <t>API</t>
        </is>
      </c>
      <c r="F10" s="3" t="inlineStr">
        <is>
          <t>extends → SEC-AUTHZ-FUNCTION
Вариант — перемещение проверяет чтение, а не запись в назначении
Паттерн: Перемещение требует права записи в назначении</t>
        </is>
      </c>
      <c r="G10" s="3" t="inlineStr">
        <is>
          <t>checks only whether the current user can view the destination section, but it does not require permission to save entries into that section</t>
        </is>
      </c>
      <c r="H10" s="5" t="inlineStr">
        <is>
          <t>совпадает</t>
        </is>
      </c>
      <c r="I10" s="3" t="inlineStr">
        <is>
          <t>SEC-AUTHZ-FUNCTION общая, но подходит: нет проверки права на операцию; отдельной записи о перемещении нет</t>
        </is>
      </c>
      <c r="J10" s="3" t="inlineStr"/>
      <c r="K10" s="6" t="n"/>
      <c r="L10" s="7" t="n"/>
    </row>
    <row r="11">
      <c r="A11" s="3" t="inlineStr">
        <is>
          <t>M10</t>
        </is>
      </c>
      <c r="B11" s="3" t="inlineStr">
        <is>
          <t>Сопоставление</t>
        </is>
      </c>
      <c r="C11" s="4" t="inlineStr">
        <is>
          <t>GHSA-jvh5-97xg-v99f</t>
        </is>
      </c>
      <c r="D11" s="3" t="inlineStr">
        <is>
          <t>ghsa-go</t>
        </is>
      </c>
      <c r="E11" s="3" t="inlineStr">
        <is>
          <t>API</t>
        </is>
      </c>
      <c r="F11" s="3" t="inlineStr">
        <is>
          <t>extends → REST-SSRF-URL-FETCH
Контроль URL fetch; вариант — внутренний адрес в IPv6-обёртке
Паттерн: Защита от SSRF распознаёт внутренние адреса в IPv6-обёртках</t>
        </is>
      </c>
      <c r="G11" s="3" t="inlineStr">
        <is>
          <t>checkIP… do not decode IPv4-in-IPv6 transition wrappers… NAT64… IPv4-compatible… 6to4</t>
        </is>
      </c>
      <c r="H11" s="5" t="inlineStr">
        <is>
          <t>совпадает</t>
        </is>
      </c>
      <c r="I11" s="3" t="inlineStr">
        <is>
          <t>Вариант обхода SSRF-защиты — из бага</t>
        </is>
      </c>
      <c r="J11" s="3" t="inlineStr">
        <is>
          <t>выборочно</t>
        </is>
      </c>
      <c r="K11" s="6" t="n"/>
      <c r="L11" s="7" t="n"/>
    </row>
    <row r="12">
      <c r="A12" s="3" t="inlineStr">
        <is>
          <t>M11</t>
        </is>
      </c>
      <c r="B12" s="3" t="inlineStr">
        <is>
          <t>Сопоставление</t>
        </is>
      </c>
      <c r="C12" s="4" t="inlineStr">
        <is>
          <t>GHSA-7m6h-rg42-m449</t>
        </is>
      </c>
      <c r="D12" s="3" t="inlineStr">
        <is>
          <t>ghsa-composer</t>
        </is>
      </c>
      <c r="E12" s="3" t="inlineStr">
        <is>
          <t>API</t>
        </is>
      </c>
      <c r="F12" s="3" t="inlineStr">
        <is>
          <t>extends → AUTH-MFA-STEP-UP
Запись проверяет второй фактор для чувствительных операций; здесь не хватает повторной аутентификации паролем для управления самим вторым фактором
Паттерн: Изменение настроек второго фактора требует подтверждения текущим паролем</t>
        </is>
      </c>
      <c r="G12" s="3" t="inlineStr">
        <is>
          <t>MFA management actions did not consistently require the user to confirm their current password… could set up app-based MFA and obtain recovery codes without password reauthentication</t>
        </is>
      </c>
      <c r="H12" s="8" t="inlineStr">
        <is>
          <t>сомнение</t>
        </is>
      </c>
      <c r="I12" s="3" t="inlineStr">
        <is>
          <t>AUTH-MFA-STEP-UP — про операции без второго фактора; в баге — без повторного ввода пароля при управлении самим MFA. Механизм другой (повторная аутентификация для чувствительных изменений учётки); записи о нём в справочнике нет — ближе к new</t>
        </is>
      </c>
      <c r="J12" s="9" t="inlineStr">
        <is>
          <t>обязательно</t>
        </is>
      </c>
      <c r="K12" s="6" t="n"/>
      <c r="L12" s="7" t="n"/>
    </row>
    <row r="13">
      <c r="A13" s="3" t="inlineStr">
        <is>
          <t>M12</t>
        </is>
      </c>
      <c r="B13" s="3" t="inlineStr">
        <is>
          <t>Сопоставление</t>
        </is>
      </c>
      <c r="C13" s="4" t="inlineStr">
        <is>
          <t>GHSA-3h96-34p3-xm76</t>
        </is>
      </c>
      <c r="D13" s="3" t="inlineStr">
        <is>
          <t>ghsa-rubygems</t>
        </is>
      </c>
      <c r="E13" s="3" t="inlineStr">
        <is>
          <t>API</t>
        </is>
      </c>
      <c r="F13" s="3" t="inlineStr">
        <is>
          <t>extends → GQL-COMPLEXITY-LIMIT
Лимит обходится за счёт токенов, которые не считаются (комментарии)
Паттерн: Лимит токенов запроса GraphQL учитывает комментарии</t>
        </is>
      </c>
      <c r="G13" s="3" t="inlineStr">
        <is>
          <t>max_query_string_tokens configuration didn't count comment tokens against the limit</t>
        </is>
      </c>
      <c r="H13" s="5" t="inlineStr">
        <is>
          <t>совпадает</t>
        </is>
      </c>
      <c r="I13" s="3" t="inlineStr">
        <is>
          <t>Обход лимита размера запроса GraphQL; GQL-COMPLEXITY-LIMIT — ближайшая (лимит токенов — не стоимость, но отдельной записи о лимите размера нет)</t>
        </is>
      </c>
      <c r="J13" s="3" t="inlineStr"/>
      <c r="K13" s="6" t="n"/>
      <c r="L13" s="7" t="n"/>
    </row>
    <row r="14">
      <c r="A14" s="3" t="inlineStr">
        <is>
          <t>M13</t>
        </is>
      </c>
      <c r="B14" s="3" t="inlineStr">
        <is>
          <t>Сопоставление</t>
        </is>
      </c>
      <c r="C14" s="4" t="inlineStr">
        <is>
          <t>GHSA-qq9q-x9w4-chhj</t>
        </is>
      </c>
      <c r="D14" s="3" t="inlineStr">
        <is>
          <t>ghsa-go</t>
        </is>
      </c>
      <c r="E14" s="3" t="inlineStr">
        <is>
          <t>API</t>
        </is>
      </c>
      <c r="F14" s="3" t="inlineStr">
        <is>
          <t>extends → SEC-OWNERSHIP-REFERENCE-INDIRECT
Косвенная ссылка разрешается в чужом контексте
Паттерн: Ссылка по имени разрешается в пространстве имён ссылающегося ресурса</t>
        </is>
      </c>
      <c r="G14" s="3" t="inlineStr">
        <is>
          <t>Traefik used the backend Service namespace instead of the HTTPRoute namespace… bind a Traefik Middleware… without a separate grant</t>
        </is>
      </c>
      <c r="H14" s="5" t="inlineStr">
        <is>
          <t>совпадает</t>
        </is>
      </c>
      <c r="I14" s="3" t="inlineStr">
        <is>
          <t>Косвенная ссылка разрешается в чужом контексте — SEC-OWNERSHIP-REFERENCE-INDIRECT</t>
        </is>
      </c>
      <c r="J14" s="3" t="inlineStr"/>
      <c r="K14" s="6" t="n"/>
      <c r="L14" s="7" t="n"/>
    </row>
    <row r="15">
      <c r="A15" s="3" t="inlineStr">
        <is>
          <t>M14</t>
        </is>
      </c>
      <c r="B15" s="3" t="inlineStr">
        <is>
          <t>Сопоставление</t>
        </is>
      </c>
      <c r="C15" s="4" t="inlineStr">
        <is>
          <t>apollographql/apollo-server#3253</t>
        </is>
      </c>
      <c r="D15" s="3" t="inlineStr">
        <is>
          <t>apollo-server</t>
        </is>
      </c>
      <c r="E15" s="3" t="inlineStr">
        <is>
          <t>API</t>
        </is>
      </c>
      <c r="F15" s="3" t="inlineStr">
        <is>
          <t>extends → GQL-EQUIVALENT-SELECTION-FORMS
Запись сравнивает формы выбора полей; баг показывает неучтённую форму — фрагмент на интерфейс по полю конкретного типа
Паттерн: Фрагмент на интерфейсе по полю конкретного типа выполняется без ошибки валидации</t>
        </is>
      </c>
      <c r="G15" s="3" t="inlineStr">
        <is>
          <t>query brand { ... on Node { id } } … error "Fragment cannot be spread here as objects of type Brand can never be of type Department"</t>
        </is>
      </c>
      <c r="H15" s="5" t="inlineStr">
        <is>
          <t>совпадает</t>
        </is>
      </c>
      <c r="I15" s="3" t="inlineStr">
        <is>
          <t>Inline-фрагмент на интерфейсе ломается там, где прямой выбор работает — вариант GQL-EQUIVALENT-SELECTION-FORMS</t>
        </is>
      </c>
      <c r="J15" s="3" t="inlineStr"/>
      <c r="K15" s="6" t="n"/>
      <c r="L15" s="7" t="n"/>
    </row>
    <row r="16">
      <c r="A16" s="3" t="inlineStr">
        <is>
          <t>M15</t>
        </is>
      </c>
      <c r="B16" s="3" t="inlineStr">
        <is>
          <t>Сопоставление</t>
        </is>
      </c>
      <c r="C16" s="4" t="inlineStr">
        <is>
          <t>GHSA-pjhx-3c3w-9v23</t>
        </is>
      </c>
      <c r="D16" s="3" t="inlineStr">
        <is>
          <t>ghsa-composer</t>
        </is>
      </c>
      <c r="E16" s="3" t="inlineStr">
        <is>
          <t>API</t>
        </is>
      </c>
      <c r="F16" s="3" t="inlineStr">
        <is>
          <t>extends → SEC-AUTHZ-CACHE-ISOLATION
Запись проверяет учёт прав кэшами; вариант — внутренний кэш сериализатора по каждому формату ответа
Паттерн: Поля, скрытые по правам, не попадают в ответ из кэша, заполненного другим пользователем</t>
        </is>
      </c>
      <c r="G16" s="3" t="inlineStr">
        <is>
          <t>componentsCache… keyed on $context['cache_key']… reused for a subsequent request whose user has a different set of accessible properties</t>
        </is>
      </c>
      <c r="H16" s="5" t="inlineStr">
        <is>
          <t>совпадает</t>
        </is>
      </c>
      <c r="I16" s="3" t="inlineStr">
        <is>
          <t>Кэш не учитывает права — SEC-AUTHZ-CACHE-ISOLATION; кэш сериализатора — вариант</t>
        </is>
      </c>
      <c r="J16" s="3" t="inlineStr"/>
      <c r="K16" s="6" t="n"/>
      <c r="L16" s="7" t="n"/>
    </row>
    <row r="17">
      <c r="A17" s="3" t="inlineStr">
        <is>
          <t>M16</t>
        </is>
      </c>
      <c r="B17" s="3" t="inlineStr">
        <is>
          <t>Сопоставление</t>
        </is>
      </c>
      <c r="C17" s="4" t="inlineStr">
        <is>
          <t>GHSA-3pjw-73gf-8qr5</t>
        </is>
      </c>
      <c r="D17" s="3" t="inlineStr">
        <is>
          <t>ghsa-maven</t>
        </is>
      </c>
      <c r="E17" s="3" t="inlineStr">
        <is>
          <t>API</t>
        </is>
      </c>
      <c r="F17" s="3" t="inlineStr">
        <is>
          <t>extends → REST-MASS-ASSIGNMENT
Обход исключения поля через имя после стратегии именования
Паттерн: Игнорируемое при записи поле не принимается под переименованным ключом</t>
        </is>
      </c>
      <c r="G17" s="3" t="inlineStr">
        <is>
          <t>@JsonIgnore on a Record property is bypassed with a PropertyNamingStrategy… a role/flag controlled by an untrusted client</t>
        </is>
      </c>
      <c r="H17" s="5" t="inlineStr">
        <is>
          <t>совпадает</t>
        </is>
      </c>
      <c r="I17" s="3" t="inlineStr">
        <is>
          <t>Mass assignment защищённого поля под переименованным ключом — вариант из бага</t>
        </is>
      </c>
      <c r="J17" s="3" t="inlineStr"/>
      <c r="K17" s="6" t="n"/>
      <c r="L17" s="7" t="n"/>
    </row>
    <row r="18">
      <c r="A18" s="3" t="inlineStr">
        <is>
          <t>M17</t>
        </is>
      </c>
      <c r="B18" s="3" t="inlineStr">
        <is>
          <t>Сопоставление</t>
        </is>
      </c>
      <c r="C18" s="4" t="inlineStr">
        <is>
          <t>GHSA-2mw5-23gm-pccq</t>
        </is>
      </c>
      <c r="D18" s="3" t="inlineStr">
        <is>
          <t>ghsa-go</t>
        </is>
      </c>
      <c r="E18" s="3" t="inlineStr">
        <is>
          <t>API</t>
        </is>
      </c>
      <c r="F18" s="3" t="inlineStr">
        <is>
          <t>covered → INJ-OS-COMMAND
Классическая инъекция команд через параметры
Паттерн: Параметры, попадающие в shell-скрипт задачи, не исполняют метасимволы</t>
        </is>
      </c>
      <c r="G18" s="3" t="inlineStr">
        <is>
          <t>workflow parameters were interpolated directly into shell program text executed through sh -c</t>
        </is>
      </c>
      <c r="H18" s="5" t="inlineStr">
        <is>
          <t>совпадает</t>
        </is>
      </c>
      <c r="I18" s="3" t="inlineStr">
        <is>
          <t>Классическая инъекция команд; covered верно</t>
        </is>
      </c>
      <c r="J18" s="3" t="inlineStr"/>
      <c r="K18" s="6" t="n"/>
      <c r="L18" s="7" t="n"/>
    </row>
    <row r="19">
      <c r="A19" s="3" t="inlineStr">
        <is>
          <t>M18</t>
        </is>
      </c>
      <c r="B19" s="3" t="inlineStr">
        <is>
          <t>Сопоставление</t>
        </is>
      </c>
      <c r="C19" s="4" t="inlineStr">
        <is>
          <t>GHSA-hf8h-97gm-4x2p</t>
        </is>
      </c>
      <c r="D19" s="3" t="inlineStr">
        <is>
          <t>ghsa-go</t>
        </is>
      </c>
      <c r="E19" s="3" t="inlineStr">
        <is>
          <t>API</t>
        </is>
      </c>
      <c r="F19" s="3" t="inlineStr">
        <is>
          <t>extends → INJ-PATH-TRAVERSAL
Путь вне каталога; вариант — не чтение файла, а оракул существования
Паттерн: Параметр пути ограничен рабочим каталогом и не раскрывает существование файлов</t>
        </is>
      </c>
      <c r="G19" s="3" t="inlineStr">
        <is>
          <t>takes a path from the request body and passes it to a filesystem existence check with no validation… The response distinguishes paths that exist</t>
        </is>
      </c>
      <c r="H19" s="5" t="inlineStr">
        <is>
          <t>совпадает</t>
        </is>
      </c>
      <c r="I19" s="3" t="inlineStr">
        <is>
          <t>Обход каталогов, вариант — оракул существования; из бага</t>
        </is>
      </c>
      <c r="J19" s="3" t="inlineStr"/>
      <c r="K19" s="6" t="n"/>
      <c r="L19" s="7" t="n"/>
    </row>
    <row r="20">
      <c r="A20" s="3" t="inlineStr">
        <is>
          <t>M19</t>
        </is>
      </c>
      <c r="B20" s="3" t="inlineStr">
        <is>
          <t>Сопоставление</t>
        </is>
      </c>
      <c r="C20" s="4" t="inlineStr">
        <is>
          <t>GHSA-wg2f-x2c2-c4rp</t>
        </is>
      </c>
      <c r="D20" s="3" t="inlineStr">
        <is>
          <t>ghsa-composer</t>
        </is>
      </c>
      <c r="E20" s="3" t="inlineStr">
        <is>
          <t>API</t>
        </is>
      </c>
      <c r="F20" s="3" t="inlineStr">
        <is>
          <t>extends → REST-OPEN-REDIRECT
Открытый редирект; вариант — адрес возврата из заголовка Referer, сохранённый в сессии
Паттерн: Редирект «назад» после операции не ведёт на внешний адрес из Referer</t>
        </is>
      </c>
      <c r="G20" s="3" t="inlineStr">
        <is>
          <t>the previous URL is derived from the attacker-controlled Referer header… redirected to an external attacker-controlled site</t>
        </is>
      </c>
      <c r="H20" s="5" t="inlineStr">
        <is>
          <t>совпадает</t>
        </is>
      </c>
      <c r="I20" s="3" t="inlineStr">
        <is>
          <t>Open redirect, вариант — адрес из Referer</t>
        </is>
      </c>
      <c r="J20" s="3" t="inlineStr"/>
      <c r="K20" s="6" t="n"/>
      <c r="L20" s="7" t="n"/>
    </row>
    <row r="21">
      <c r="A21" s="3" t="inlineStr">
        <is>
          <t>M20</t>
        </is>
      </c>
      <c r="B21" s="3" t="inlineStr">
        <is>
          <t>Сопоставление</t>
        </is>
      </c>
      <c r="C21" s="4" t="inlineStr">
        <is>
          <t>GHSA-65cv-w493-7vhq</t>
        </is>
      </c>
      <c r="D21" s="3" t="inlineStr">
        <is>
          <t>ghsa-composer</t>
        </is>
      </c>
      <c r="E21" s="3" t="inlineStr">
        <is>
          <t>API</t>
        </is>
      </c>
      <c r="F21" s="3" t="inlineStr">
        <is>
          <t>extends → SEC-OWNERSHIP-REFERENCE-INDIRECT
Косвенная ссылка на закрытый объект; вариант — выпуск публичной ссылки доступа к нему
Паттерн: Публичную ссылку на объект может создать только пользователь с правом его просмотра</t>
        </is>
      </c>
      <c r="G21" s="3" t="inlineStr">
        <is>
          <t>Any authenticated administration user could call the generate action for any page… including content… they have no VIEW rights on. The endpoint returns a public render URL</t>
        </is>
      </c>
      <c r="H21" s="5" t="inlineStr">
        <is>
          <t>совпадает</t>
        </is>
      </c>
      <c r="I21" s="3" t="inlineStr">
        <is>
          <t>Публичная ссылка-токен на объект без права просмотра — косвенная ссылка в обход прав; подходит</t>
        </is>
      </c>
      <c r="J21" s="3" t="inlineStr"/>
      <c r="K21" s="6" t="n"/>
      <c r="L21" s="7" t="n"/>
    </row>
    <row r="22">
      <c r="A22" s="3" t="inlineStr">
        <is>
          <t>M21</t>
        </is>
      </c>
      <c r="B22" s="3" t="inlineStr">
        <is>
          <t>Сопоставление</t>
        </is>
      </c>
      <c r="C22" s="4" t="inlineStr">
        <is>
          <t>GHSA-32r8-5843-4qw2</t>
        </is>
      </c>
      <c r="D22" s="3" t="inlineStr">
        <is>
          <t>ghsa-go</t>
        </is>
      </c>
      <c r="E22" s="3" t="inlineStr">
        <is>
          <t>API</t>
        </is>
      </c>
      <c r="F22" s="3" t="inlineStr">
        <is>
          <t>extends → AUTH-TOKEN-TYPE-CONFUSION
Путаница типов токена; вариант — токен ссылки-доступа принимается за пользовательский из-за совпадения числового ID
Паттерн: Принципал ссылки-доступа не принимается за пользователя с тем же числовым ID</t>
        </is>
      </c>
      <c r="G22" s="3" t="inlineStr">
        <is>
          <t>A link-share's GetID() returns the raw positive share.ID… treated as the user whose users.id == N at three permission checks</t>
        </is>
      </c>
      <c r="H22" s="8" t="inlineStr">
        <is>
          <t>сомнение</t>
        </is>
      </c>
      <c r="I22" s="3" t="inlineStr">
        <is>
          <t>AUTH-TOKEN-TYPE-CONFUSION — чужой тип токена принимается как access-токен. В баге токен ссылки принимается законно, а путаются типы принципала в проверках прав по числовому ID. Близко, но механизм — авторизация, а не приём токена</t>
        </is>
      </c>
      <c r="J22" s="9" t="inlineStr">
        <is>
          <t>обязательно</t>
        </is>
      </c>
      <c r="K22" s="6" t="n"/>
      <c r="L22" s="7" t="n"/>
    </row>
    <row r="23">
      <c r="A23" s="3" t="inlineStr">
        <is>
          <t>M22</t>
        </is>
      </c>
      <c r="B23" s="3" t="inlineStr">
        <is>
          <t>Сопоставление</t>
        </is>
      </c>
      <c r="C23" s="4" t="inlineStr">
        <is>
          <t>GHSA-cp4q-fqw9-4hf6</t>
        </is>
      </c>
      <c r="D23" s="3" t="inlineStr">
        <is>
          <t>ghsa-maven</t>
        </is>
      </c>
      <c r="E23" s="3" t="inlineStr">
        <is>
          <t>API</t>
        </is>
      </c>
      <c r="F23" s="3" t="inlineStr">
        <is>
          <t>extends → HTTP-HEADER-SIZE-LIMIT
Обход лимита заголовков через CONTINUATION-фреймы HTTP/2
Паттерн: Поток CONTINUATION-фреймов HTTP/2 ограничен лимитом размера заголовков</t>
        </is>
      </c>
      <c r="G23" s="3" t="inlineStr">
        <is>
          <t>HEADERS… without the END_HEADERS flag… CONTINUATION frames. These accumulate unbounded</t>
        </is>
      </c>
      <c r="H23" s="5" t="inlineStr">
        <is>
          <t>совпадает</t>
        </is>
      </c>
      <c r="I23" s="3" t="inlineStr">
        <is>
          <t>Лимит размера заголовков, вариант HTTP/2 CONTINUATION</t>
        </is>
      </c>
      <c r="J23" s="3" t="inlineStr"/>
      <c r="K23" s="6" t="n"/>
      <c r="L23" s="7" t="n"/>
    </row>
    <row r="24">
      <c r="A24" s="3" t="inlineStr">
        <is>
          <t>M23</t>
        </is>
      </c>
      <c r="B24" s="3" t="inlineStr">
        <is>
          <t>Сопоставление</t>
        </is>
      </c>
      <c r="C24" s="4" t="inlineStr">
        <is>
          <t>GHSA-pg57-6jwg-q645</t>
        </is>
      </c>
      <c r="D24" s="3" t="inlineStr">
        <is>
          <t>ghsa-go</t>
        </is>
      </c>
      <c r="E24" s="3" t="inlineStr">
        <is>
          <t>API</t>
        </is>
      </c>
      <c r="F24" s="3" t="inlineStr">
        <is>
          <t>extends → HARD-EXPENSIVE-OPERATION-LIMITS
Дорогая операция без лимита; вариант — граф ссылок внешнего объекта
Паттерн: Обход графа ссылок во внешнем объекте ограничен по глубине и ширине</t>
        </is>
      </c>
      <c r="G24" s="3" t="inlineStr">
        <is>
          <t>deeply nested or heavily fanned-out descriptor graphs can cause unbounded CPU and memory consumption… lack sufficient depth and breadth limits</t>
        </is>
      </c>
      <c r="H24" s="5" t="inlineStr">
        <is>
          <t>совпадает</t>
        </is>
      </c>
      <c r="I24" s="3" t="inlineStr">
        <is>
          <t>HARD-EXPENSIVE-OPERATION-LIMITS, вариант из бага</t>
        </is>
      </c>
      <c r="J24" s="3" t="inlineStr">
        <is>
          <t>выборочно</t>
        </is>
      </c>
      <c r="K24" s="6" t="n"/>
      <c r="L24" s="7" t="n"/>
    </row>
    <row r="25">
      <c r="A25" s="3" t="inlineStr">
        <is>
          <t>M24</t>
        </is>
      </c>
      <c r="B25" s="3" t="inlineStr">
        <is>
          <t>Сопоставление</t>
        </is>
      </c>
      <c r="C25" s="4" t="inlineStr">
        <is>
          <t>GHSA-vq6j-hj8w-7v39</t>
        </is>
      </c>
      <c r="D25" s="3" t="inlineStr">
        <is>
          <t>ghsa-rubygems</t>
        </is>
      </c>
      <c r="E25" s="3" t="inlineStr">
        <is>
          <t>API</t>
        </is>
      </c>
      <c r="F25" s="3" t="inlineStr">
        <is>
          <t>covered → SEC-AUTHZ-FUNCTION
Пользователь без права вызывает операцию — ровно проверка записи
Паттерн: Обычный пользователь не может вызывать административные операции редактора</t>
        </is>
      </c>
      <c r="G25" s="3" t="inlineStr">
        <is>
          <t>the route under /admin/demographics/questions renders the editor interface without checking whether the caller is an admin</t>
        </is>
      </c>
      <c r="H25" s="5" t="inlineStr">
        <is>
          <t>совпадает</t>
        </is>
      </c>
      <c r="I25" s="3" t="inlineStr">
        <is>
          <t>Пользователь без права вызывает операцию — covered верно</t>
        </is>
      </c>
      <c r="J25" s="3" t="inlineStr"/>
      <c r="K25" s="6" t="n"/>
      <c r="L25" s="7" t="n"/>
    </row>
    <row r="26">
      <c r="A26" s="3" t="inlineStr">
        <is>
          <t>M25</t>
        </is>
      </c>
      <c r="B26" s="3" t="inlineStr">
        <is>
          <t>Сопоставление</t>
        </is>
      </c>
      <c r="C26" s="4" t="inlineStr">
        <is>
          <t>GHSA-j8pm-gj4c-rq4x</t>
        </is>
      </c>
      <c r="D26" s="3" t="inlineStr">
        <is>
          <t>ghsa-composer</t>
        </is>
      </c>
      <c r="E26" s="3" t="inlineStr">
        <is>
          <t>API</t>
        </is>
      </c>
      <c r="F26" s="3" t="inlineStr">
        <is>
          <t>covered → INJ-REDOS
Рендеринг Markdown пользователя с квадратичным разбором уже есть в записи
Паттерн: Рендеринг Markdown не имеет сверхлинейной сложности на однострочном вводе</t>
        </is>
      </c>
      <c r="G26" s="3" t="inlineStr">
        <is>
          <t>super-linear work on three independent parsing paths… Fenced code block detection… /^[ \t]*(?:`{3,}(?!.*`)|~{3,})/</t>
        </is>
      </c>
      <c r="H26" s="5" t="inlineStr">
        <is>
          <t>совпадает</t>
        </is>
      </c>
      <c r="I26" s="3" t="inlineStr">
        <is>
          <t>Один из путей — regex с backtracking; шаг про рендеринг Markdown в INJ-REDOS уже есть — covered верно. Сама запись смешивает regex и не-regex шаги (см. правило «механизм»)</t>
        </is>
      </c>
      <c r="J26" s="3" t="inlineStr"/>
      <c r="K26" s="6" t="n"/>
      <c r="L26" s="7" t="n"/>
    </row>
    <row r="27">
      <c r="A27" s="3" t="inlineStr">
        <is>
          <t>M26</t>
        </is>
      </c>
      <c r="B27" s="3" t="inlineStr">
        <is>
          <t>Сопоставление</t>
        </is>
      </c>
      <c r="C27" s="4" t="inlineStr">
        <is>
          <t>GHSA-4p3g-4hcj-wpvx</t>
        </is>
      </c>
      <c r="D27" s="3" t="inlineStr">
        <is>
          <t>ghsa-go</t>
        </is>
      </c>
      <c r="E27" s="3" t="inlineStr">
        <is>
          <t>API</t>
        </is>
      </c>
      <c r="F27" s="3" t="inlineStr">
        <is>
          <t>extends → INJ-SSRF-PARAMETERS
SSRF через параметр с хостом; вариант — хост внедряется в шаблон URL, и обход идёт через разделители URL, а не через внутренний адрес
Паттерн: Параметр-хост, подставляемый в исходящий URL, принимает только имя хоста и порт</t>
        </is>
      </c>
      <c r="G27" s="3" t="inlineStr">
        <is>
          <t>user-supplied parameters that are interpolated into outbound request URLs. Without proper input validation… send HTTP requests to unintended destinations</t>
        </is>
      </c>
      <c r="H27" s="5" t="inlineStr">
        <is>
          <t>совпадает</t>
        </is>
      </c>
      <c r="I27" s="3" t="inlineStr">
        <is>
          <t>SSRF через параметр — INJ-SSRF-PARAMETERS; вариант «хост в шаблоне URL» — из бага, детали обхода разделителями — небольшое расширение</t>
        </is>
      </c>
      <c r="J27" s="3" t="inlineStr"/>
      <c r="K27" s="6" t="n"/>
      <c r="L27" s="7" t="n"/>
    </row>
    <row r="28">
      <c r="A28" s="3" t="inlineStr">
        <is>
          <t>M27</t>
        </is>
      </c>
      <c r="B28" s="3" t="inlineStr">
        <is>
          <t>Сопоставление</t>
        </is>
      </c>
      <c r="C28" s="4" t="inlineStr">
        <is>
          <t>directus/directus#24011</t>
        </is>
      </c>
      <c r="D28" s="3" t="inlineStr">
        <is>
          <t>directus</t>
        </is>
      </c>
      <c r="E28" s="3" t="inlineStr">
        <is>
          <t>API</t>
        </is>
      </c>
      <c r="F28" s="3" t="inlineStr">
        <is>
          <t>covered → SEC-AUTHZ-ROLE-POSITIVE-MATRIX
Запись проверяет ровно это: разрешённая операция работает не только у администратора
Паттерн: Изменение работает для роли с правом через политику доступа</t>
        </is>
      </c>
      <c r="G28" s="3" t="inlineStr">
        <is>
          <t>PATCH operations fail for non-administrator users even when proper Access Policies are configured</t>
        </is>
      </c>
      <c r="H28" s="5" t="inlineStr">
        <is>
          <t>совпадает</t>
        </is>
      </c>
      <c r="I28" s="3" t="inlineStr">
        <is>
          <t>Позитивный баг на позитивной записи SEC-AUTHZ-ROLE-POSITIVE-MATRIX — направление верное</t>
        </is>
      </c>
      <c r="J28" s="3" t="inlineStr"/>
      <c r="K28" s="6" t="n"/>
      <c r="L28" s="7" t="n"/>
    </row>
    <row r="29">
      <c r="A29" s="3" t="inlineStr">
        <is>
          <t>M28</t>
        </is>
      </c>
      <c r="B29" s="3" t="inlineStr">
        <is>
          <t>Сопоставление</t>
        </is>
      </c>
      <c r="C29" s="4" t="inlineStr">
        <is>
          <t>GHSA-8j3g-f24p-4mpw</t>
        </is>
      </c>
      <c r="D29" s="3" t="inlineStr">
        <is>
          <t>ghsa-rubygems</t>
        </is>
      </c>
      <c r="E29" s="3" t="inlineStr">
        <is>
          <t>API</t>
        </is>
      </c>
      <c r="F29" s="3" t="inlineStr">
        <is>
          <t>extends → HTTP-HEADER-SIZE-LIMIT
Запись — про большие заголовки HTTP; вариант — бесконечный поток заголовков при рукопожатии WebSocket
Паттерн: Бесконечный поток заголовков рукопожатия WebSocket прерывается по лимиту</t>
        </is>
      </c>
      <c r="G29" s="3" t="inlineStr">
        <is>
          <t>sending an HTTP request or response with a never-ending list of headers… limiting the total size… to 32 kB</t>
        </is>
      </c>
      <c r="H29" s="5" t="inlineStr">
        <is>
          <t>совпадает</t>
        </is>
      </c>
      <c r="I29" s="3" t="inlineStr">
        <is>
          <t>Лимит заголовков, вариант — рукопожатие WebSocket</t>
        </is>
      </c>
      <c r="J29" s="3" t="inlineStr">
        <is>
          <t>выборочно</t>
        </is>
      </c>
      <c r="K29" s="6" t="n"/>
      <c r="L29" s="7" t="n"/>
    </row>
    <row r="30">
      <c r="A30" s="3" t="inlineStr">
        <is>
          <t>M29</t>
        </is>
      </c>
      <c r="B30" s="3" t="inlineStr">
        <is>
          <t>Сопоставление</t>
        </is>
      </c>
      <c r="C30" s="4" t="inlineStr">
        <is>
          <t>GHSA-h6w7-xxcf-w2mq</t>
        </is>
      </c>
      <c r="D30" s="3" t="inlineStr">
        <is>
          <t>ghsa-go</t>
        </is>
      </c>
      <c r="E30" s="3" t="inlineStr">
        <is>
          <t>API</t>
        </is>
      </c>
      <c r="F30" s="3" t="inlineStr">
        <is>
          <t>extends → SEC-OWNERSHIP-REFERENCE-INDIRECT
Косвенная ссылка; вариант — встроенное содержимое
Паттерн: Встроенное содержимое недоступных объектов не возвращается</t>
        </is>
      </c>
      <c r="G30" s="3" t="inlineStr">
        <is>
          <t>blocks pulled in by that block's embed (transclusion) query are inlined into the returned DOM with no publish-access check</t>
        </is>
      </c>
      <c r="H30" s="5" t="inlineStr">
        <is>
          <t>совпадает</t>
        </is>
      </c>
      <c r="I30" s="3" t="inlineStr">
        <is>
          <t>Встроенное содержимое в обход прав — SEC-OWNERSHIP-REFERENCE-INDIRECT</t>
        </is>
      </c>
      <c r="J30" s="3" t="inlineStr"/>
      <c r="K30" s="6" t="n"/>
      <c r="L30" s="7" t="n"/>
    </row>
    <row r="31">
      <c r="A31" s="3" t="inlineStr">
        <is>
          <t>M30</t>
        </is>
      </c>
      <c r="B31" s="3" t="inlineStr">
        <is>
          <t>Сопоставление</t>
        </is>
      </c>
      <c r="C31" s="4" t="inlineStr">
        <is>
          <t>GHSA-9fxm-vc8v-hj55</t>
        </is>
      </c>
      <c r="D31" s="3" t="inlineStr">
        <is>
          <t>ghsa-maven</t>
        </is>
      </c>
      <c r="E31" s="3" t="inlineStr">
        <is>
          <t>API</t>
        </is>
      </c>
      <c r="F31" s="3" t="inlineStr">
        <is>
          <t>covered → REST-READONLY-WRITEONLY
readOnly-поле записывается из запроса
Паттерн: Поле только для чтения не записывается, если прислать его под публичным именем</t>
        </is>
      </c>
      <c r="G31" s="3" t="inlineStr">
        <is>
          <t>a renamed getter with an ignored setter (a read-only-over-the-wire pattern) have that field silently set from attacker input</t>
        </is>
      </c>
      <c r="H31" s="5" t="inlineStr">
        <is>
          <t>совпадает</t>
        </is>
      </c>
      <c r="I31" s="3" t="inlineStr">
        <is>
          <t>Запись поля только для чтения — REST-READONLY-WRITEONLY; под публичным (переименованным) именем — это и есть базовая проверка, covered допустим</t>
        </is>
      </c>
      <c r="J31" s="3" t="inlineStr"/>
      <c r="K31" s="6" t="n"/>
      <c r="L31" s="7" t="n"/>
    </row>
    <row r="32">
      <c r="A32" s="3" t="inlineStr">
        <is>
          <t>M31</t>
        </is>
      </c>
      <c r="B32" s="3" t="inlineStr">
        <is>
          <t>Сопоставление</t>
        </is>
      </c>
      <c r="C32" s="4" t="inlineStr">
        <is>
          <t>GHSA-cp65-5m9r-vc2c</t>
        </is>
      </c>
      <c r="D32" s="3" t="inlineStr">
        <is>
          <t>ghsa-rubygems</t>
        </is>
      </c>
      <c r="E32" s="3" t="inlineStr">
        <is>
          <t>API</t>
        </is>
      </c>
      <c r="F32" s="3" t="inlineStr">
        <is>
          <t>covered → INJ-PATH-TRAVERSAL
Классический обход каталогов через параметр файла
Паттерн: Параметр имени файла при скачивании не позволяет выйти из каталога</t>
        </is>
      </c>
      <c r="G32" s="3" t="inlineStr">
        <is>
          <t>download_private_file?file=../../../../../../etc/passwd</t>
        </is>
      </c>
      <c r="H32" s="5" t="inlineStr">
        <is>
          <t>совпадает</t>
        </is>
      </c>
      <c r="I32" s="3" t="inlineStr">
        <is>
          <t>Классический обход каталогов; covered верно</t>
        </is>
      </c>
      <c r="J32" s="3" t="inlineStr"/>
      <c r="K32" s="6" t="n"/>
      <c r="L32" s="7" t="n"/>
    </row>
    <row r="33">
      <c r="A33" s="3" t="inlineStr">
        <is>
          <t>M32</t>
        </is>
      </c>
      <c r="B33" s="3" t="inlineStr">
        <is>
          <t>Сопоставление</t>
        </is>
      </c>
      <c r="C33" s="4" t="inlineStr">
        <is>
          <t>GHSA-x76w-6vjr-8xgj</t>
        </is>
      </c>
      <c r="D33" s="3" t="inlineStr">
        <is>
          <t>ghsa-rubygems</t>
        </is>
      </c>
      <c r="E33" s="3" t="inlineStr">
        <is>
          <t>API</t>
        </is>
      </c>
      <c r="F33" s="3" t="inlineStr">
        <is>
          <t>extends → INJ-REDOS
Новый вход — служебная фильтрация параметров для логов, а не бизнес-валидация
Паттерн: Фильтрация чувствительных параметров не вызывает ReDoS</t>
        </is>
      </c>
      <c r="G33" s="3" t="inlineStr">
        <is>
          <t>Carefully crafted query parameters can cause query parameter filtering to take an unexpected amount of time</t>
        </is>
      </c>
      <c r="H33" s="5" t="inlineStr">
        <is>
          <t>совпадает</t>
        </is>
      </c>
      <c r="I33" s="3" t="inlineStr">
        <is>
          <t>ReDoS (regex по CVE) в фильтрации параметров — вариант входа</t>
        </is>
      </c>
      <c r="J33" s="3" t="inlineStr"/>
      <c r="K33" s="6" t="n"/>
      <c r="L33" s="7" t="n"/>
    </row>
    <row r="34">
      <c r="A34" s="3" t="inlineStr">
        <is>
          <t>M33</t>
        </is>
      </c>
      <c r="B34" s="3" t="inlineStr">
        <is>
          <t>Сопоставление</t>
        </is>
      </c>
      <c r="C34" s="4" t="inlineStr">
        <is>
          <t>GHSA-fq2p-5p22-8g6j</t>
        </is>
      </c>
      <c r="D34" s="3" t="inlineStr">
        <is>
          <t>ghsa-go</t>
        </is>
      </c>
      <c r="E34" s="3" t="inlineStr">
        <is>
          <t>API</t>
        </is>
      </c>
      <c r="F34" s="3" t="inlineStr">
        <is>
          <t>extends → SEC-SCOPE-MISSING
Ограничение токена не применено; вариант — ограничение «только публичное» обходится через списки, хотя прямой доступ закрыт
Паттерн: Токен с ограничением «только публичные ресурсы» не получает приватные данные через списки и смежные эндпоинты</t>
        </is>
      </c>
      <c r="G34" s="3" t="inlineStr">
        <is>
          <t>A personal access token restricted with the public-only scope can still retrieve private organization membership… through organization-listing endpoints</t>
        </is>
      </c>
      <c r="H34" s="5" t="inlineStr">
        <is>
          <t>совпадает</t>
        </is>
      </c>
      <c r="I34" s="3" t="inlineStr">
        <is>
          <t>Ограничение токена не применено на части эндпоинтов — SEC-SCOPE-MISSING, вариант</t>
        </is>
      </c>
      <c r="J34" s="3" t="inlineStr"/>
      <c r="K34" s="6" t="n"/>
      <c r="L34" s="7" t="n"/>
    </row>
    <row r="35">
      <c r="A35" s="3" t="inlineStr">
        <is>
          <t>M34</t>
        </is>
      </c>
      <c r="B35" s="3" t="inlineStr">
        <is>
          <t>Сопоставление</t>
        </is>
      </c>
      <c r="C35" s="4" t="inlineStr">
        <is>
          <t>GHSA-qpgp-93vx-g8v8</t>
        </is>
      </c>
      <c r="D35" s="3" t="inlineStr">
        <is>
          <t>ghsa-rubygems</t>
        </is>
      </c>
      <c r="E35" s="3" t="inlineStr">
        <is>
          <t>API</t>
        </is>
      </c>
      <c r="F35" s="3" t="inlineStr">
        <is>
          <t>extends → HARD-SLOW-CLIENT-LIMITS
Неполный запрос на уровне префикса PROXY protocol, до HTTP
Паттерн: Строка PROXY protocol без CRLF не накапливается без ограничения</t>
        </is>
      </c>
      <c r="G35" s="3" t="inlineStr">
        <is>
          <t>continuously sends bytes without CRLF, Puma keeps appending to this pre-parse buffer</t>
        </is>
      </c>
      <c r="H35" s="5" t="inlineStr">
        <is>
          <t>совпадает</t>
        </is>
      </c>
      <c r="I35" s="3" t="inlineStr">
        <is>
          <t>Неполный запрос копится без лимита — HARD-SLOW-CLIENT-LIMITS, вариант PROXY protocol</t>
        </is>
      </c>
      <c r="J35" s="3" t="inlineStr"/>
      <c r="K35" s="6" t="n"/>
      <c r="L35" s="7" t="n"/>
    </row>
    <row r="36">
      <c r="A36" s="3" t="inlineStr">
        <is>
          <t>M35</t>
        </is>
      </c>
      <c r="B36" s="3" t="inlineStr">
        <is>
          <t>Сопоставление</t>
        </is>
      </c>
      <c r="C36" s="4" t="inlineStr">
        <is>
          <t>GHSA-2x79-gwq3-vxxm</t>
        </is>
      </c>
      <c r="D36" s="3" t="inlineStr">
        <is>
          <t>ghsa-rubygems</t>
        </is>
      </c>
      <c r="E36" s="3" t="inlineStr">
        <is>
          <t>API</t>
        </is>
      </c>
      <c r="F36" s="3" t="inlineStr">
        <is>
          <t>extends → HARD-EXPENSIVE-OPERATION-LIMITS
Разбор без регулярных выражений с бесконечным циклом — по правилу механизма
Паттерн: Некорректный JSON с буквой на месте значения быстро отклоняется</t>
        </is>
      </c>
      <c r="G36" s="3" t="inlineStr">
        <is>
          <t>fio_json_parse can enter an infinite loop when it encounters a nested JSON value starting with i or I… The smallest reproducer found is [i</t>
        </is>
      </c>
      <c r="H36" s="5" t="inlineStr">
        <is>
          <t>совпадает</t>
        </is>
      </c>
      <c r="I36" s="3" t="inlineStr">
        <is>
          <t>По правилу «механизм»: бесконечный цикл парсера — HARD-EXPENSIVE-OPERATION-LIMITS. Можно было бы и VAL-MALFORMED-JSON (паттерн — «некорректный JSON быстро отклоняется»), но выбор соответствует промпту</t>
        </is>
      </c>
      <c r="J36" s="3" t="inlineStr"/>
      <c r="K36" s="6" t="n"/>
      <c r="L36" s="7" t="n"/>
    </row>
    <row r="37">
      <c r="A37" s="3" t="inlineStr">
        <is>
          <t>M36</t>
        </is>
      </c>
      <c r="B37" s="3" t="inlineStr">
        <is>
          <t>Сопоставление</t>
        </is>
      </c>
      <c r="C37" s="4" t="inlineStr">
        <is>
          <t>GHSA-rw77-vq4g-x3hp</t>
        </is>
      </c>
      <c r="D37" s="3" t="inlineStr">
        <is>
          <t>ghsa-composer</t>
        </is>
      </c>
      <c r="E37" s="3" t="inlineStr">
        <is>
          <t>API</t>
        </is>
      </c>
      <c r="F37" s="3" t="inlineStr">
        <is>
          <t>covered → INJ-SQL
Базовая инъекция в значение тела запроса
Паттерн: Значение при создании справочной записи не позволяет SQL-инъекцию</t>
        </is>
      </c>
      <c r="G37" s="3" t="inlineStr">
        <is>
          <t>builds a SQL INSERT statement using sprintf()… without calling the application's database escaping function</t>
        </is>
      </c>
      <c r="H37" s="5" t="inlineStr">
        <is>
          <t>совпадает</t>
        </is>
      </c>
      <c r="I37" s="3" t="inlineStr">
        <is>
          <t>SQL-инъекция в значении; covered верно</t>
        </is>
      </c>
      <c r="J37" s="3" t="inlineStr"/>
      <c r="K37" s="6" t="n"/>
      <c r="L37" s="7" t="n"/>
    </row>
    <row r="38">
      <c r="A38" s="3" t="inlineStr">
        <is>
          <t>M37</t>
        </is>
      </c>
      <c r="B38" s="3" t="inlineStr">
        <is>
          <t>Сопоставление</t>
        </is>
      </c>
      <c r="C38" s="4" t="inlineStr">
        <is>
          <t>GHSA-fmgp-q6jx-gg3x</t>
        </is>
      </c>
      <c r="D38" s="3" t="inlineStr">
        <is>
          <t>ghsa-go</t>
        </is>
      </c>
      <c r="E38" s="3" t="inlineStr">
        <is>
          <t>API</t>
        </is>
      </c>
      <c r="F38" s="3" t="inlineStr">
        <is>
          <t>extends → HARD-UNSAFE-API-CONSUMPTION
Данные из внешнего источника используются без ограничений
Паттерн: Содержимое внешнего репозитория по ссылке из ресурса читается с лимитом и без перехода по символьным ссылкам</t>
        </is>
      </c>
      <c r="G38" s="3" t="inlineStr">
        <is>
          <t>a variables.tf symlink that resolves to /dev/zero… vela-core follows the symlink and calls os.ReadFile</t>
        </is>
      </c>
      <c r="H38" s="5" t="inlineStr">
        <is>
          <t>совпадает</t>
        </is>
      </c>
      <c r="I38" s="3" t="inlineStr">
        <is>
          <t>Содержимое внешнего источника без ограничений — HARD-UNSAFE-API-CONSUMPTION; подходит</t>
        </is>
      </c>
      <c r="J38" s="3" t="inlineStr"/>
      <c r="K38" s="6" t="n"/>
      <c r="L38" s="7" t="n"/>
    </row>
    <row r="39">
      <c r="A39" s="3" t="inlineStr">
        <is>
          <t>M38</t>
        </is>
      </c>
      <c r="B39" s="3" t="inlineStr">
        <is>
          <t>Сопоставление</t>
        </is>
      </c>
      <c r="C39" s="4" t="inlineStr">
        <is>
          <t>GHSA-2x9c-vp3g-hvv2</t>
        </is>
      </c>
      <c r="D39" s="3" t="inlineStr">
        <is>
          <t>ghsa-maven</t>
        </is>
      </c>
      <c r="E39" s="3" t="inlineStr">
        <is>
          <t>API</t>
        </is>
      </c>
      <c r="F39" s="3" t="inlineStr">
        <is>
          <t>covered → AUTH-CSRF
Изменяющая операция доступна без CSRF-защиты
Паттерн: Действие с побочным эффектом не выполняется GET-запросом без защиты от CSRF</t>
        </is>
      </c>
      <c r="G39" s="3" t="inlineStr">
        <is>
          <t>these HTTP endpoints do not require POST requests, resulting in a cross-site request forgery (CSRF) vulnerability</t>
        </is>
      </c>
      <c r="H39" s="5" t="inlineStr">
        <is>
          <t>совпадает</t>
        </is>
      </c>
      <c r="I39" s="3" t="inlineStr">
        <is>
          <t>Паттерн про CSRF/GET — AUTH-CSRF, covered верно. Вторая половина бага (нет проверки прав Overall/Read) в паттерн не попала</t>
        </is>
      </c>
      <c r="J39" s="3" t="inlineStr"/>
      <c r="K39" s="6" t="n"/>
      <c r="L39" s="7" t="n"/>
    </row>
    <row r="40">
      <c r="A40" s="3" t="inlineStr">
        <is>
          <t>M39</t>
        </is>
      </c>
      <c r="B40" s="3" t="inlineStr">
        <is>
          <t>Сопоставление</t>
        </is>
      </c>
      <c r="C40" s="4" t="inlineStr">
        <is>
          <t>GHSA-5pg6-m483-7vrg</t>
        </is>
      </c>
      <c r="D40" s="3" t="inlineStr">
        <is>
          <t>ghsa-go</t>
        </is>
      </c>
      <c r="E40" s="3" t="inlineStr">
        <is>
          <t>API</t>
        </is>
      </c>
      <c r="F40" s="3" t="inlineStr">
        <is>
          <t>extends → SEC-OWNERSHIP-UPDATE
Права проверяются по контейнеру из пути, а не по объекту из тела
Паттерн: ID объекта в теле операции над своим контейнером проверяется на права</t>
        </is>
      </c>
      <c r="G40" s="3" t="inlineStr">
        <is>
          <t>authorization check… only verifies that the caller may update the project/view/bucket named in the URL — it never checks any permission on task_id</t>
        </is>
      </c>
      <c r="H40" s="5" t="inlineStr">
        <is>
          <t>совпадает</t>
        </is>
      </c>
      <c r="I40" s="3" t="inlineStr">
        <is>
          <t>IDOR по ID из тела — SEC-OWNERSHIP-UPDATE, вариант</t>
        </is>
      </c>
      <c r="J40" s="3" t="inlineStr"/>
      <c r="K40" s="6" t="n"/>
      <c r="L40" s="7" t="n"/>
    </row>
    <row r="41">
      <c r="A41" s="3" t="inlineStr">
        <is>
          <t>M40</t>
        </is>
      </c>
      <c r="B41" s="3" t="inlineStr">
        <is>
          <t>Сопоставление</t>
        </is>
      </c>
      <c r="C41" s="4" t="inlineStr">
        <is>
          <t>GHSA-mhwm-jh88-3gjf</t>
        </is>
      </c>
      <c r="D41" s="3" t="inlineStr">
        <is>
          <t>ghsa-rubygems</t>
        </is>
      </c>
      <c r="E41" s="3" t="inlineStr">
        <is>
          <t>API</t>
        </is>
      </c>
      <c r="F41" s="3" t="inlineStr">
        <is>
          <t>extends → INJ-REDOS
Полезная нагрузка — повтор незакрытых открывающих тегов для регулярки экранирования HTML
Паттерн: Ввод с множеством незакрытых тегов не вызывает катастрофического backtracking при экранировании</t>
        </is>
      </c>
      <c r="G41" s="3" t="inlineStr">
        <is>
          <t>The regular expression used in CGI::Util#escapeElement is vulnerable to ReDoS</t>
        </is>
      </c>
      <c r="H41" s="5" t="inlineStr">
        <is>
          <t>совпадает</t>
        </is>
      </c>
      <c r="I41" s="3" t="inlineStr">
        <is>
          <t>Regex — INJ-REDOS верно; полезная нагрузка (незакрытые теги) из фикса правдоподобна</t>
        </is>
      </c>
      <c r="J41" s="3" t="inlineStr"/>
      <c r="K41" s="6" t="n"/>
      <c r="L41" s="7" t="n"/>
    </row>
  </sheetData>
  <autoFilter ref="A1:L41"/>
  <dataValidations count="1">
    <dataValidation sqref="K2:K41" showDropDown="0" showInputMessage="0" showErrorMessage="0" allowBlank="1" type="list">
      <formula1>"да,нет,не знаю"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9" t="inlineStr">
        <is>
          <t>Раздел</t>
        </is>
      </c>
      <c r="B1" s="9" t="inlineStr">
        <is>
          <t>Строк</t>
        </is>
      </c>
      <c r="C1" s="9" t="inlineStr">
        <is>
          <t>Человек: да</t>
        </is>
      </c>
      <c r="D1" s="9" t="inlineStr">
        <is>
          <t>Человек: нет</t>
        </is>
      </c>
      <c r="E1" s="9" t="inlineStr">
        <is>
          <t>Человек: не знаю</t>
        </is>
      </c>
      <c r="F1" s="9" t="inlineStr">
        <is>
          <t>Claude: совпадает</t>
        </is>
      </c>
      <c r="G1" s="9" t="inlineStr">
        <is>
          <t>Claude: сомнение</t>
        </is>
      </c>
      <c r="H1" s="9" t="inlineStr">
        <is>
          <t>Claude: не совпадает</t>
        </is>
      </c>
      <c r="I1" s="9" t="inlineStr">
        <is>
          <t>Верно, % (человек, иначе Claude; «не знаю» = Claude; сомнения не в расчёте)</t>
        </is>
      </c>
    </row>
    <row r="2">
      <c r="A2" t="inlineStr">
        <is>
          <t>Триаж</t>
        </is>
      </c>
      <c r="B2">
        <f>COUNTIF(Выборка!$B:$B,A2)</f>
        <v/>
      </c>
      <c r="C2">
        <f>COUNTIFS(Выборка!$B:$B,A2,Выборка!$K:$K,"да")</f>
        <v/>
      </c>
      <c r="D2">
        <f>COUNTIFS(Выборка!$B:$B,A2,Выборка!$K:$K,"нет")</f>
        <v/>
      </c>
      <c r="E2">
        <f>COUNTIFS(Выборка!$B:$B,A2,Выборка!$K:$K,"не знаю")</f>
        <v/>
      </c>
      <c r="F2">
        <f>COUNTIFS(Выборка!$B:$B,A2,Выборка!$H:$H,"совпадает")</f>
        <v/>
      </c>
      <c r="G2">
        <f>COUNTIFS(Выборка!$B:$B,A2,Выборка!$H:$H,"сомнение")</f>
        <v/>
      </c>
      <c r="H2">
        <f>COUNTIFS(Выборка!$B:$B,A2,Выборка!$H:$H,"не совпадает")</f>
        <v/>
      </c>
      <c r="I2">
        <f>IFERROR(100*(C2+COUNTIFS(Выборка!$B:$B,A2,Выборка!$K:$K,"",Выборка!$H:$H,"совпадает")+COUNTIFS(Выборка!$B:$B,A2,Выборка!$K:$K,"не знаю",Выборка!$H:$H,"совпадает"))/(C2+D2+COUNTIFS(Выборка!$B:$B,A2,Выборка!$K:$K,"",Выборка!$H:$H,"совпадает")+COUNTIFS(Выборка!$B:$B,A2,Выборка!$K:$K,"не знаю",Выборка!$H:$H,"совпадает")+COUNTIFS(Выборка!$B:$B,A2,Выборка!$K:$K,"",Выборка!$H:$H,"не совпадает")+COUNTIFS(Выборка!$B:$B,A2,Выборка!$K:$K,"не знаю",Выборка!$H:$H,"не совпадает")),"")</f>
        <v/>
      </c>
    </row>
    <row r="3">
      <c r="A3" t="inlineStr">
        <is>
          <t>Сопоставление</t>
        </is>
      </c>
      <c r="B3">
        <f>COUNTIF(Выборка!$B:$B,A3)</f>
        <v/>
      </c>
      <c r="C3">
        <f>COUNTIFS(Выборка!$B:$B,A3,Выборка!$K:$K,"да")</f>
        <v/>
      </c>
      <c r="D3">
        <f>COUNTIFS(Выборка!$B:$B,A3,Выборка!$K:$K,"нет")</f>
        <v/>
      </c>
      <c r="E3">
        <f>COUNTIFS(Выборка!$B:$B,A3,Выборка!$K:$K,"не знаю")</f>
        <v/>
      </c>
      <c r="F3">
        <f>COUNTIFS(Выборка!$B:$B,A3,Выборка!$H:$H,"совпадает")</f>
        <v/>
      </c>
      <c r="G3">
        <f>COUNTIFS(Выборка!$B:$B,A3,Выборка!$H:$H,"сомнение")</f>
        <v/>
      </c>
      <c r="H3">
        <f>COUNTIFS(Выборка!$B:$B,A3,Выборка!$H:$H,"не совпадает")</f>
        <v/>
      </c>
      <c r="I3">
        <f>IFERROR(100*(C3+COUNTIFS(Выборка!$B:$B,A3,Выборка!$K:$K,"",Выборка!$H:$H,"совпадает")+COUNTIFS(Выборка!$B:$B,A3,Выборка!$K:$K,"не знаю",Выборка!$H:$H,"совпадает"))/(C3+D3+COUNTIFS(Выборка!$B:$B,A3,Выборка!$K:$K,"",Выборка!$H:$H,"совпадает")+COUNTIFS(Выборка!$B:$B,A3,Выборка!$K:$K,"не знаю",Выборка!$H:$H,"совпадает")+COUNTIFS(Выборка!$B:$B,A3,Выборка!$K:$K,"",Выборка!$H:$H,"не совпадает")+COUNTIFS(Выборка!$B:$B,A3,Выборка!$K:$K,"не знаю",Выборка!$H:$H,"не совпадает")),"")</f>
        <v/>
      </c>
    </row>
    <row r="5">
      <c r="A5" t="inlineStr">
        <is>
          <t>Цель — не меньше 85 % в каждом разделе (ADR 0005).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2026-10-16T00:54:36Z</dcterms:created>
  <dcterms:modified xsi:type="dcterms:W3CDTF">2026-10-16T00:54:36Z</dcterms:modified>
</cp:coreProperties>
</file>